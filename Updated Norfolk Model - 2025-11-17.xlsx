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% Grant, BVGEC recoup via Mixt" sheetId="1" r:id="rId4"/>
    <sheet state="visible" name="0% Grant, BVGEC recoup via Prof" sheetId="2" r:id="rId5"/>
    <sheet state="visible" name="50% Grant, BVGEC recoup via pro" sheetId="3" r:id="rId6"/>
    <sheet state="visible" name="50% Grant, flow through BVGEC" sheetId="4" r:id="rId7"/>
    <sheet state="visible" name="50% Grant, BVGEC recoup via OPE" sheetId="5" r:id="rId8"/>
    <sheet state="visible" name="Billing Rate" sheetId="6" r:id="rId9"/>
    <sheet state="visible" name="Rate Codes" sheetId="7" r:id="rId10"/>
    <sheet state="visible" name="Daylight Hours" sheetId="8" r:id="rId11"/>
    <sheet state="visible" name="Bill Comparison" sheetId="9" r:id="rId12"/>
    <sheet state="visible" name="Current Bill" sheetId="10" r:id="rId13"/>
    <sheet state="visible" name="Bankable Bill Annual" sheetId="11" r:id="rId14"/>
    <sheet state="visible" name="Copy of Bankable Bill Annual" sheetId="12" r:id="rId15"/>
    <sheet state="visible" name="SC Bill Annual" sheetId="13" r:id="rId16"/>
  </sheets>
  <definedNames/>
  <calcPr/>
</workbook>
</file>

<file path=xl/sharedStrings.xml><?xml version="1.0" encoding="utf-8"?>
<sst xmlns="http://schemas.openxmlformats.org/spreadsheetml/2006/main" count="3243" uniqueCount="141">
  <si>
    <t>Capacity Factor</t>
  </si>
  <si>
    <t>Norfolk</t>
  </si>
  <si>
    <t>System Output</t>
  </si>
  <si>
    <t>BVGEC</t>
  </si>
  <si>
    <t>Hours per Year</t>
  </si>
  <si>
    <t>Community</t>
  </si>
  <si>
    <t>System Size</t>
  </si>
  <si>
    <t>Install Cost</t>
  </si>
  <si>
    <t>Capex</t>
  </si>
  <si>
    <t>Degradation</t>
  </si>
  <si>
    <t>Inflation</t>
  </si>
  <si>
    <t>Admin Rate</t>
  </si>
  <si>
    <t>Combined OPEX Rate</t>
  </si>
  <si>
    <t>Insurance Rate</t>
  </si>
  <si>
    <t>Individual</t>
  </si>
  <si>
    <t>Maintenance Rate</t>
  </si>
  <si>
    <t>CCA Rate</t>
  </si>
  <si>
    <t>Half Year Rule</t>
  </si>
  <si>
    <t>Grant Rate</t>
  </si>
  <si>
    <t>Current Bill</t>
  </si>
  <si>
    <t>Grant Amount</t>
  </si>
  <si>
    <t>New Bill</t>
  </si>
  <si>
    <t>Benefit Dist</t>
  </si>
  <si>
    <t>Annuity</t>
  </si>
  <si>
    <t>Net Capex</t>
  </si>
  <si>
    <t>Available Savings</t>
  </si>
  <si>
    <t>Bill Saving</t>
  </si>
  <si>
    <t>Debt Rate</t>
  </si>
  <si>
    <t>Norfolk Bill Savings</t>
  </si>
  <si>
    <t>Debt Term</t>
  </si>
  <si>
    <t>Total Benefit</t>
  </si>
  <si>
    <t>Effective Savings</t>
  </si>
  <si>
    <t>Norfolk Residual</t>
  </si>
  <si>
    <t>Norfolk Total</t>
  </si>
  <si>
    <t>Repayment Start</t>
  </si>
  <si>
    <t>BVGEC Residual</t>
  </si>
  <si>
    <t>BVGEC Total</t>
  </si>
  <si>
    <t>Repayment Principal</t>
  </si>
  <si>
    <t>Tax Rate</t>
  </si>
  <si>
    <t>ITC Rate</t>
  </si>
  <si>
    <t>ITC Amount</t>
  </si>
  <si>
    <t>Utilization</t>
  </si>
  <si>
    <t>ITC year</t>
  </si>
  <si>
    <t>Effective PPA</t>
  </si>
  <si>
    <t>Year</t>
  </si>
  <si>
    <t>Effective Output</t>
  </si>
  <si>
    <t>Escalation Factor</t>
  </si>
  <si>
    <t>Admin Cost</t>
  </si>
  <si>
    <t>Insurance Cost</t>
  </si>
  <si>
    <t>Maintenance Cost</t>
  </si>
  <si>
    <t>OPEX</t>
  </si>
  <si>
    <t>Capital Cost Allowance</t>
  </si>
  <si>
    <t>Maxmimum Revenue</t>
  </si>
  <si>
    <t>Debt Principal</t>
  </si>
  <si>
    <t>Debt Interest</t>
  </si>
  <si>
    <t>ITC Credit</t>
  </si>
  <si>
    <t>Pre Tax Operating Cashflow</t>
  </si>
  <si>
    <t>Taxable Income Before Carry Forward Loss</t>
  </si>
  <si>
    <t>Carry Forward Losses</t>
  </si>
  <si>
    <t>Taxable Income After Carry Forward Loss</t>
  </si>
  <si>
    <t>Tax</t>
  </si>
  <si>
    <t>After Tax Income</t>
  </si>
  <si>
    <t>Principal Repayent</t>
  </si>
  <si>
    <t>Cashflow To Equity</t>
  </si>
  <si>
    <t>Revenue</t>
  </si>
  <si>
    <t>Norfolk Savings</t>
  </si>
  <si>
    <t>Cumulative Equity</t>
  </si>
  <si>
    <t>Consumption</t>
  </si>
  <si>
    <t>Ratchet Demand</t>
  </si>
  <si>
    <t>Code</t>
  </si>
  <si>
    <t>Type</t>
  </si>
  <si>
    <t>Component Type</t>
  </si>
  <si>
    <t>Price</t>
  </si>
  <si>
    <t>D300</t>
  </si>
  <si>
    <t>Distribution</t>
  </si>
  <si>
    <t>Service Charge</t>
  </si>
  <si>
    <t>Facilities Charge</t>
  </si>
  <si>
    <t>Non-Ratcheted Demand Charge</t>
  </si>
  <si>
    <t>Transmission</t>
  </si>
  <si>
    <t>Demand Charge</t>
  </si>
  <si>
    <t>Variable Charge</t>
  </si>
  <si>
    <t>D200</t>
  </si>
  <si>
    <t>Useage Charge</t>
  </si>
  <si>
    <t>Month</t>
  </si>
  <si>
    <t>Daylight Hours (decimal)</t>
  </si>
  <si>
    <t>Light %</t>
  </si>
  <si>
    <t>Night Hours</t>
  </si>
  <si>
    <t>Night %</t>
  </si>
  <si>
    <t>Days</t>
  </si>
  <si>
    <t>Load kWh</t>
  </si>
  <si>
    <t>Average Load (kW)</t>
  </si>
  <si>
    <t>Generation kWh</t>
  </si>
  <si>
    <t>Average Power (kW)</t>
  </si>
  <si>
    <t>Coverage Factor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</si>
  <si>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</si>
  <si>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</si>
  <si>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</si>
  <si>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</si>
  <si>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</si>
  <si>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</si>
  <si>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</si>
  <si>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</si>
  <si>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</si>
  <si>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</si>
  <si>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</si>
  <si>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</si>
  <si>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</t>
  </si>
  <si>
    <t>Bankable</t>
  </si>
  <si>
    <t>Solar Club</t>
  </si>
  <si>
    <t>Total</t>
  </si>
  <si>
    <t>Savings</t>
  </si>
  <si>
    <t>SC Savings</t>
  </si>
  <si>
    <t>* T&amp;D are the same as Bankable</t>
  </si>
  <si>
    <t>Demand kVA</t>
  </si>
  <si>
    <t>T&amp;D Total</t>
  </si>
  <si>
    <t>Charges Total</t>
  </si>
  <si>
    <t>Tax (5%)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</si>
  <si>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</si>
  <si>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</si>
  <si>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</si>
  <si>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</si>
  <si>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</si>
  <si>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</si>
  <si>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</si>
  <si>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</si>
  <si>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</si>
  <si>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</si>
  <si>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</si>
  <si>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Annual Generation</t>
  </si>
  <si>
    <t>Degradation rate</t>
  </si>
  <si>
    <t>*Consumption (Load kWh) + Net exports =  generation</t>
  </si>
  <si>
    <t xml:space="preserve">* Even when net exporting, we have T&amp;D costs related to our consuming periods. </t>
  </si>
  <si>
    <t>Percent of Load</t>
  </si>
  <si>
    <t>Uncovered Load</t>
  </si>
  <si>
    <t>Generation %</t>
  </si>
  <si>
    <t>Generation</t>
  </si>
  <si>
    <t>Import Coverage</t>
  </si>
  <si>
    <t>Import Factor</t>
  </si>
  <si>
    <t>Net kWh</t>
  </si>
  <si>
    <t>Import</t>
  </si>
  <si>
    <t>% of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</si>
</sst>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%"/>
    <numFmt numFmtId="165" formatCode="_(&quot;$&quot;* #,##0.00_);_(&quot;$&quot;* \(#,##0.00\);_(&quot;$&quot;* &quot;-&quot;??_);_(@_)"/>
    <numFmt numFmtId="166" formatCode="&quot;$&quot;#,##0.00"/>
    <numFmt numFmtId="167" formatCode="0.0%"/>
    <numFmt numFmtId="168" formatCode="0.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FkGroteskNeue"/>
    </font>
    <font>
      <b/>
      <sz val="12.0"/>
      <color rgb="FF1F2937"/>
      <name val="&quot;Source Sans Pro&quot;"/>
    </font>
    <font>
      <color theme="1"/>
      <name val="FkGroteskNeue"/>
    </font>
    <font>
      <sz val="12.0"/>
      <color rgb="FF1F2937"/>
      <name val="&quot;Source Sans Pro&quot;"/>
    </font>
    <font>
      <b/>
      <color theme="1"/>
      <name val="Arial"/>
      <scheme val="minor"/>
    </font>
    <font/>
    <font>
      <b/>
      <sz val="12.0"/>
      <color rgb="FF1F2937"/>
      <name val="Source Sans Pro"/>
    </font>
    <font>
      <sz val="12.0"/>
      <color rgb="FF1F2937"/>
      <name val="Source Sans Pr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9">
    <border/>
    <border>
      <right style="thin">
        <color rgb="FF000000"/>
      </right>
      <bottom style="thin">
        <color rgb="FF000000"/>
      </bottom>
    </border>
    <border>
      <left style="thin">
        <color rgb="FF31333F"/>
      </left>
      <right style="thin">
        <color rgb="FF31333F"/>
      </right>
      <top style="thin">
        <color rgb="FF31333F"/>
      </top>
      <bottom style="thin">
        <color rgb="FF31333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31333F"/>
      </right>
      <top style="thin">
        <color rgb="FF31333F"/>
      </top>
      <bottom style="thin">
        <color rgb="FF31333F"/>
      </bottom>
    </border>
    <border>
      <left style="thin">
        <color rgb="FF31333F"/>
      </left>
      <right style="thin">
        <color rgb="FF000000"/>
      </right>
      <top style="thin">
        <color rgb="FF31333F"/>
      </top>
      <bottom style="thin">
        <color rgb="FF31333F"/>
      </bottom>
    </border>
    <border>
      <left style="thin">
        <color rgb="FF000000"/>
      </left>
      <right style="thin">
        <color rgb="FF000000"/>
      </right>
      <top style="thin">
        <color rgb="FF31333F"/>
      </top>
      <bottom style="thin">
        <color rgb="FF31333F"/>
      </bottom>
    </border>
    <border>
      <right style="thin">
        <color rgb="FF31333F"/>
      </right>
      <top style="thin">
        <color rgb="FF31333F"/>
      </top>
      <bottom style="thin">
        <color rgb="FF31333F"/>
      </bottom>
    </border>
    <border>
      <left style="thin">
        <color rgb="FF000000"/>
      </left>
      <right style="thin">
        <color rgb="FF31333F"/>
      </right>
      <top style="thin">
        <color rgb="FF31333F"/>
      </top>
      <bottom style="thin">
        <color rgb="FF000000"/>
      </bottom>
    </border>
    <border>
      <left style="thin">
        <color rgb="FF31333F"/>
      </left>
      <right style="thin">
        <color rgb="FF31333F"/>
      </right>
      <top style="thin">
        <color rgb="FF31333F"/>
      </top>
      <bottom style="thin">
        <color rgb="FF000000"/>
      </bottom>
    </border>
    <border>
      <left style="thin">
        <color rgb="FF31333F"/>
      </left>
      <right style="thin">
        <color rgb="FF000000"/>
      </right>
      <top style="thin">
        <color rgb="FF31333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31333F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2" xfId="0" applyFont="1" applyNumberFormat="1"/>
    <xf borderId="0" fillId="0" fontId="1" numFmtId="165" xfId="0" applyFont="1" applyNumberFormat="1"/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Font="1" applyNumberFormat="1"/>
    <xf borderId="0" fillId="0" fontId="1" numFmtId="166" xfId="0" applyFont="1" applyNumberFormat="1"/>
    <xf borderId="0" fillId="0" fontId="2" numFmtId="0" xfId="0" applyAlignment="1" applyFont="1">
      <alignment readingOrder="0" vertical="bottom"/>
    </xf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right" vertical="bottom"/>
    </xf>
    <xf borderId="0" fillId="0" fontId="1" numFmtId="165" xfId="0" applyAlignment="1" applyFont="1" applyNumberFormat="1">
      <alignment readingOrder="0"/>
    </xf>
    <xf borderId="0" fillId="0" fontId="1" numFmtId="166" xfId="0" applyFont="1" applyNumberFormat="1"/>
    <xf borderId="0" fillId="0" fontId="1" numFmtId="3" xfId="0" applyFont="1" applyNumberFormat="1"/>
    <xf borderId="1" fillId="0" fontId="3" numFmtId="0" xfId="0" applyAlignment="1" applyBorder="1" applyFont="1">
      <alignment horizontal="left" readingOrder="0" vertical="top"/>
    </xf>
    <xf borderId="2" fillId="2" fontId="4" numFmtId="0" xfId="0" applyAlignment="1" applyBorder="1" applyFill="1" applyFont="1">
      <alignment horizontal="right" readingOrder="0" shrinkToFit="0" wrapText="1"/>
    </xf>
    <xf borderId="1" fillId="0" fontId="3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5" numFmtId="167" xfId="0" applyAlignment="1" applyBorder="1" applyFont="1" applyNumberFormat="1">
      <alignment readingOrder="0"/>
    </xf>
    <xf borderId="2" fillId="2" fontId="6" numFmtId="0" xfId="0" applyAlignment="1" applyBorder="1" applyFont="1">
      <alignment horizontal="right" readingOrder="0"/>
    </xf>
    <xf borderId="2" fillId="2" fontId="6" numFmtId="3" xfId="0" applyAlignment="1" applyBorder="1" applyFont="1" applyNumberFormat="1">
      <alignment horizontal="right" readingOrder="0"/>
    </xf>
    <xf borderId="0" fillId="0" fontId="1" numFmtId="1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7" numFmtId="167" xfId="0" applyFont="1" applyNumberFormat="1"/>
    <xf borderId="3" fillId="0" fontId="7" numFmtId="0" xfId="0" applyAlignment="1" applyBorder="1" applyFont="1">
      <alignment horizontal="center" readingOrder="0"/>
    </xf>
    <xf borderId="4" fillId="0" fontId="8" numFmtId="0" xfId="0" applyBorder="1" applyFont="1"/>
    <xf borderId="5" fillId="0" fontId="8" numFmtId="0" xfId="0" applyBorder="1" applyFont="1"/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6" fillId="0" fontId="1" numFmtId="166" xfId="0" applyBorder="1" applyFont="1" applyNumberFormat="1"/>
    <xf borderId="7" fillId="0" fontId="1" numFmtId="166" xfId="0" applyBorder="1" applyFont="1" applyNumberFormat="1"/>
    <xf borderId="8" fillId="0" fontId="7" numFmtId="166" xfId="0" applyBorder="1" applyFont="1" applyNumberFormat="1"/>
    <xf borderId="9" fillId="0" fontId="7" numFmtId="166" xfId="0" applyBorder="1" applyFont="1" applyNumberFormat="1"/>
    <xf borderId="1" fillId="0" fontId="7" numFmtId="166" xfId="0" applyBorder="1" applyFont="1" applyNumberFormat="1"/>
    <xf borderId="0" fillId="0" fontId="2" numFmtId="3" xfId="0" applyAlignment="1" applyFont="1" applyNumberFormat="1">
      <alignment horizontal="right" vertical="bottom"/>
    </xf>
    <xf borderId="0" fillId="2" fontId="4" numFmtId="0" xfId="0" applyAlignment="1" applyFont="1">
      <alignment horizontal="left" readingOrder="0"/>
    </xf>
    <xf borderId="0" fillId="2" fontId="4" numFmtId="0" xfId="0" applyAlignment="1" applyFont="1">
      <alignment horizontal="right" readingOrder="0"/>
    </xf>
    <xf borderId="0" fillId="2" fontId="6" numFmtId="0" xfId="0" applyAlignment="1" applyFont="1">
      <alignment horizontal="right" readingOrder="0"/>
    </xf>
    <xf borderId="2" fillId="2" fontId="4" numFmtId="0" xfId="0" applyAlignment="1" applyBorder="1" applyFont="1">
      <alignment horizontal="left" readingOrder="0"/>
    </xf>
    <xf borderId="2" fillId="2" fontId="4" numFmtId="0" xfId="0" applyAlignment="1" applyBorder="1" applyFont="1">
      <alignment horizontal="right" readingOrder="0"/>
    </xf>
    <xf borderId="2" fillId="2" fontId="6" numFmtId="0" xfId="0" applyAlignment="1" applyBorder="1" applyFont="1">
      <alignment horizontal="left" readingOrder="0"/>
    </xf>
    <xf borderId="2" fillId="2" fontId="6" numFmtId="166" xfId="0" applyAlignment="1" applyBorder="1" applyFont="1" applyNumberFormat="1">
      <alignment horizontal="right" readingOrder="0"/>
    </xf>
    <xf borderId="2" fillId="2" fontId="4" numFmtId="3" xfId="0" applyAlignment="1" applyBorder="1" applyFont="1" applyNumberFormat="1">
      <alignment horizontal="right" readingOrder="0" shrinkToFit="0" wrapText="1"/>
    </xf>
    <xf borderId="2" fillId="2" fontId="4" numFmtId="166" xfId="0" applyAlignment="1" applyBorder="1" applyFont="1" applyNumberFormat="1">
      <alignment horizontal="right" readingOrder="0" shrinkToFit="0" wrapText="1"/>
    </xf>
    <xf borderId="2" fillId="2" fontId="4" numFmtId="166" xfId="0" applyAlignment="1" applyBorder="1" applyFont="1" applyNumberFormat="1">
      <alignment horizontal="right" readingOrder="0"/>
    </xf>
    <xf borderId="3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2" fillId="2" fontId="4" numFmtId="0" xfId="0" applyAlignment="1" applyBorder="1" applyFont="1">
      <alignment horizontal="left" readingOrder="0" shrinkToFit="0" wrapText="1"/>
    </xf>
    <xf borderId="11" fillId="2" fontId="4" numFmtId="0" xfId="0" applyAlignment="1" applyBorder="1" applyFont="1">
      <alignment horizontal="right" readingOrder="0" shrinkToFit="0" wrapText="1"/>
    </xf>
    <xf borderId="12" fillId="2" fontId="4" numFmtId="0" xfId="0" applyAlignment="1" applyBorder="1" applyFont="1">
      <alignment horizontal="right" readingOrder="0" shrinkToFit="0" wrapText="1"/>
    </xf>
    <xf borderId="13" fillId="2" fontId="4" numFmtId="0" xfId="0" applyAlignment="1" applyBorder="1" applyFont="1">
      <alignment horizontal="right" readingOrder="0" shrinkToFit="0" wrapText="1"/>
    </xf>
    <xf borderId="14" fillId="2" fontId="4" numFmtId="0" xfId="0" applyAlignment="1" applyBorder="1" applyFont="1">
      <alignment horizontal="right" readingOrder="0" shrinkToFit="0" wrapText="1"/>
    </xf>
    <xf borderId="0" fillId="2" fontId="6" numFmtId="9" xfId="0" applyAlignment="1" applyFont="1" applyNumberFormat="1">
      <alignment horizontal="left" readingOrder="0"/>
    </xf>
    <xf borderId="2" fillId="2" fontId="6" numFmtId="10" xfId="0" applyAlignment="1" applyBorder="1" applyFont="1" applyNumberFormat="1">
      <alignment horizontal="left" readingOrder="0"/>
    </xf>
    <xf borderId="2" fillId="2" fontId="6" numFmtId="1" xfId="0" applyAlignment="1" applyBorder="1" applyFont="1" applyNumberFormat="1">
      <alignment horizontal="left" readingOrder="0"/>
    </xf>
    <xf borderId="2" fillId="2" fontId="6" numFmtId="168" xfId="0" applyAlignment="1" applyBorder="1" applyFont="1" applyNumberFormat="1">
      <alignment horizontal="left" readingOrder="0"/>
    </xf>
    <xf borderId="2" fillId="2" fontId="6" numFmtId="4" xfId="0" applyAlignment="1" applyBorder="1" applyFont="1" applyNumberFormat="1">
      <alignment horizontal="right" readingOrder="0"/>
    </xf>
    <xf borderId="2" fillId="2" fontId="6" numFmtId="9" xfId="0" applyAlignment="1" applyBorder="1" applyFont="1" applyNumberFormat="1">
      <alignment horizontal="right" readingOrder="0"/>
    </xf>
    <xf borderId="11" fillId="2" fontId="6" numFmtId="3" xfId="0" applyAlignment="1" applyBorder="1" applyFont="1" applyNumberFormat="1">
      <alignment horizontal="right" readingOrder="0"/>
    </xf>
    <xf borderId="12" fillId="2" fontId="6" numFmtId="3" xfId="0" applyAlignment="1" applyBorder="1" applyFont="1" applyNumberFormat="1">
      <alignment horizontal="right" readingOrder="0"/>
    </xf>
    <xf borderId="13" fillId="2" fontId="6" numFmtId="3" xfId="0" applyAlignment="1" applyBorder="1" applyFont="1" applyNumberFormat="1">
      <alignment horizontal="right" readingOrder="0"/>
    </xf>
    <xf borderId="14" fillId="2" fontId="6" numFmtId="3" xfId="0" applyAlignment="1" applyBorder="1" applyFont="1" applyNumberFormat="1">
      <alignment horizontal="right" readingOrder="0"/>
    </xf>
    <xf borderId="2" fillId="2" fontId="4" numFmtId="10" xfId="0" applyAlignment="1" applyBorder="1" applyFont="1" applyNumberFormat="1">
      <alignment horizontal="left" readingOrder="0"/>
    </xf>
    <xf borderId="2" fillId="2" fontId="4" numFmtId="1" xfId="0" applyAlignment="1" applyBorder="1" applyFont="1" applyNumberFormat="1">
      <alignment horizontal="left" readingOrder="0"/>
    </xf>
    <xf borderId="15" fillId="2" fontId="4" numFmtId="3" xfId="0" applyAlignment="1" applyBorder="1" applyFont="1" applyNumberFormat="1">
      <alignment horizontal="right" readingOrder="0" shrinkToFit="0" wrapText="1"/>
    </xf>
    <xf borderId="16" fillId="2" fontId="4" numFmtId="3" xfId="0" applyAlignment="1" applyBorder="1" applyFont="1" applyNumberFormat="1">
      <alignment horizontal="right" readingOrder="0" shrinkToFit="0" wrapText="1"/>
    </xf>
    <xf borderId="17" fillId="2" fontId="4" numFmtId="3" xfId="0" applyAlignment="1" applyBorder="1" applyFont="1" applyNumberFormat="1">
      <alignment horizontal="right" readingOrder="0" shrinkToFit="0" wrapText="1"/>
    </xf>
    <xf borderId="18" fillId="2" fontId="4" numFmtId="3" xfId="0" applyAlignment="1" applyBorder="1" applyFont="1" applyNumberFormat="1">
      <alignment horizontal="right" readingOrder="0" shrinkToFit="0" wrapText="1"/>
    </xf>
    <xf borderId="14" fillId="2" fontId="4" numFmtId="3" xfId="0" applyAlignment="1" applyBorder="1" applyFont="1" applyNumberFormat="1">
      <alignment horizontal="right" readingOrder="0" shrinkToFit="0" wrapText="1"/>
    </xf>
    <xf borderId="0" fillId="2" fontId="6" numFmtId="0" xfId="0" applyAlignment="1" applyFont="1">
      <alignment horizontal="left" readingOrder="0"/>
    </xf>
    <xf borderId="0" fillId="0" fontId="2" numFmtId="0" xfId="0" applyAlignment="1" applyFont="1">
      <alignment horizontal="right" readingOrder="0" vertical="bottom"/>
    </xf>
    <xf borderId="2" fillId="2" fontId="9" numFmtId="0" xfId="0" applyAlignment="1" applyBorder="1" applyFont="1">
      <alignment vertical="bottom"/>
    </xf>
    <xf borderId="2" fillId="2" fontId="9" numFmtId="0" xfId="0" applyAlignment="1" applyBorder="1" applyFont="1">
      <alignment horizontal="right" shrinkToFit="0" vertical="bottom" wrapText="1"/>
    </xf>
    <xf borderId="2" fillId="2" fontId="9" numFmtId="0" xfId="0" applyAlignment="1" applyBorder="1" applyFont="1">
      <alignment horizontal="right" vertical="bottom"/>
    </xf>
    <xf borderId="2" fillId="2" fontId="10" numFmtId="0" xfId="0" applyAlignment="1" applyBorder="1" applyFont="1">
      <alignment vertical="bottom"/>
    </xf>
    <xf borderId="2" fillId="2" fontId="10" numFmtId="3" xfId="0" applyAlignment="1" applyBorder="1" applyFont="1" applyNumberFormat="1">
      <alignment horizontal="right" vertical="bottom"/>
    </xf>
    <xf borderId="2" fillId="2" fontId="2" numFmtId="0" xfId="0" applyAlignment="1" applyBorder="1" applyFont="1">
      <alignment vertical="bottom"/>
    </xf>
    <xf borderId="2" fillId="2" fontId="9" numFmtId="10" xfId="0" applyAlignment="1" applyBorder="1" applyFont="1" applyNumberFormat="1">
      <alignment vertical="bottom"/>
    </xf>
    <xf borderId="2" fillId="2" fontId="9" numFmtId="1" xfId="0" applyAlignment="1" applyBorder="1" applyFont="1" applyNumberFormat="1">
      <alignment vertical="bottom"/>
    </xf>
    <xf borderId="2" fillId="2" fontId="9" numFmtId="3" xfId="0" applyAlignment="1" applyBorder="1" applyFont="1" applyNumberFormat="1">
      <alignment horizontal="right" shrinkToFit="0" vertical="bottom" wrapText="1"/>
    </xf>
    <xf borderId="2" fillId="2" fontId="6" numFmtId="167" xfId="0" applyAlignment="1" applyBorder="1" applyFont="1" applyNumberFormat="1">
      <alignment horizontal="left" readingOrder="0"/>
    </xf>
    <xf borderId="2" fillId="2" fontId="10" numFmtId="0" xfId="0" applyAlignment="1" applyBorder="1" applyFont="1">
      <alignment horizontal="right" vertical="bottom"/>
    </xf>
    <xf borderId="2" fillId="2" fontId="10" numFmtId="10" xfId="0" applyAlignment="1" applyBorder="1" applyFont="1" applyNumberFormat="1">
      <alignment vertical="bottom"/>
    </xf>
    <xf borderId="2" fillId="2" fontId="10" numFmtId="1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4" max="4" width="17.38"/>
  </cols>
  <sheetData>
    <row r="2">
      <c r="A2" s="1" t="s">
        <v>0</v>
      </c>
      <c r="B2" s="2">
        <v>0.17</v>
      </c>
      <c r="D2" s="1" t="s">
        <v>1</v>
      </c>
      <c r="E2" s="1">
        <v>0.33</v>
      </c>
    </row>
    <row r="3">
      <c r="A3" s="1" t="s">
        <v>2</v>
      </c>
      <c r="B3" s="1">
        <v>65000.0</v>
      </c>
      <c r="D3" s="1" t="s">
        <v>3</v>
      </c>
      <c r="E3" s="1">
        <v>0.33</v>
      </c>
    </row>
    <row r="4">
      <c r="A4" s="1" t="s">
        <v>4</v>
      </c>
      <c r="B4" s="1">
        <v>8766.0</v>
      </c>
      <c r="D4" s="1" t="s">
        <v>5</v>
      </c>
      <c r="E4" s="3">
        <f>1-E2-E3</f>
        <v>0.34</v>
      </c>
    </row>
    <row r="5">
      <c r="A5" s="1" t="s">
        <v>6</v>
      </c>
      <c r="B5" s="4">
        <f>$B$3/$B$4/$B$2</f>
        <v>43.61772087</v>
      </c>
    </row>
    <row r="6">
      <c r="A6" s="1" t="s">
        <v>7</v>
      </c>
      <c r="B6" s="1">
        <v>2.5</v>
      </c>
    </row>
    <row r="7">
      <c r="A7" s="1" t="s">
        <v>8</v>
      </c>
      <c r="B7" s="5">
        <f>B5*B6*1000</f>
        <v>109044.3022</v>
      </c>
    </row>
    <row r="8">
      <c r="A8" s="1" t="s">
        <v>9</v>
      </c>
      <c r="B8" s="6">
        <v>0.005</v>
      </c>
    </row>
    <row r="9">
      <c r="A9" s="1" t="s">
        <v>10</v>
      </c>
      <c r="B9" s="7">
        <v>0.03</v>
      </c>
    </row>
    <row r="10">
      <c r="A10" s="1" t="s">
        <v>11</v>
      </c>
      <c r="B10" s="6">
        <f t="shared" ref="B10:B12" si="1">$E$11</f>
        <v>0.0055</v>
      </c>
      <c r="D10" s="1" t="s">
        <v>12</v>
      </c>
      <c r="E10" s="6">
        <v>0.0165</v>
      </c>
    </row>
    <row r="11">
      <c r="A11" s="1" t="s">
        <v>13</v>
      </c>
      <c r="B11" s="6">
        <f t="shared" si="1"/>
        <v>0.0055</v>
      </c>
      <c r="D11" s="1" t="s">
        <v>14</v>
      </c>
      <c r="E11" s="8">
        <f>E10/3</f>
        <v>0.0055</v>
      </c>
    </row>
    <row r="12">
      <c r="A12" s="1" t="s">
        <v>15</v>
      </c>
      <c r="B12" s="6">
        <f t="shared" si="1"/>
        <v>0.0055</v>
      </c>
    </row>
    <row r="13">
      <c r="A13" s="1" t="s">
        <v>16</v>
      </c>
      <c r="B13" s="7">
        <v>0.3</v>
      </c>
    </row>
    <row r="14">
      <c r="A14" s="1" t="s">
        <v>17</v>
      </c>
      <c r="B14" s="7">
        <v>0.5</v>
      </c>
    </row>
    <row r="15">
      <c r="A15" s="1" t="s">
        <v>18</v>
      </c>
      <c r="B15" s="7">
        <v>0.0</v>
      </c>
      <c r="L15" s="1" t="s">
        <v>19</v>
      </c>
      <c r="M15" s="9">
        <f>'Bill Comparison'!F28</f>
        <v>322479.9538</v>
      </c>
    </row>
    <row r="16">
      <c r="A16" s="1" t="s">
        <v>20</v>
      </c>
      <c r="B16" s="5">
        <f>B7*B15</f>
        <v>0</v>
      </c>
      <c r="L16" s="1" t="s">
        <v>21</v>
      </c>
      <c r="M16" s="9">
        <f>'Bill Comparison'!J28</f>
        <v>49771.69702</v>
      </c>
      <c r="N16" s="1" t="s">
        <v>22</v>
      </c>
      <c r="O16" s="1" t="s">
        <v>23</v>
      </c>
    </row>
    <row r="17">
      <c r="A17" s="1" t="s">
        <v>24</v>
      </c>
      <c r="B17" s="5">
        <f>B7-B16</f>
        <v>109044.3022</v>
      </c>
      <c r="L17" s="1" t="s">
        <v>25</v>
      </c>
      <c r="M17" s="9">
        <f>'Bill Comparison'!L28</f>
        <v>272708.2568</v>
      </c>
      <c r="N17" s="8"/>
      <c r="Q17" s="1"/>
      <c r="R17" s="1" t="s">
        <v>26</v>
      </c>
      <c r="S17" s="8">
        <f>1-(I56+M16)/M15</f>
        <v>-0.1039416905</v>
      </c>
    </row>
    <row r="18">
      <c r="A18" s="1" t="s">
        <v>27</v>
      </c>
      <c r="B18" s="7">
        <v>0.04</v>
      </c>
      <c r="L18" s="1" t="s">
        <v>28</v>
      </c>
      <c r="M18" s="9">
        <f>M17-I56</f>
        <v>-33519.11154</v>
      </c>
      <c r="N18" s="8">
        <f>M18/M19</f>
        <v>-0.2948194975</v>
      </c>
    </row>
    <row r="19" ht="19.5" customHeight="1">
      <c r="A19" s="1" t="s">
        <v>29</v>
      </c>
      <c r="B19" s="1">
        <v>10.0</v>
      </c>
      <c r="L19" s="1" t="s">
        <v>30</v>
      </c>
      <c r="M19" s="9">
        <f>M18+T56+G56</f>
        <v>113693.673</v>
      </c>
      <c r="N19" s="8"/>
      <c r="R19" s="1" t="s">
        <v>31</v>
      </c>
      <c r="S19" s="8">
        <f>1-(M16+I56-M21)/M15</f>
        <v>0.01240325328</v>
      </c>
    </row>
    <row r="20">
      <c r="A20" s="10"/>
      <c r="B20" s="1"/>
      <c r="C20" s="1"/>
      <c r="D20" s="1"/>
      <c r="E20" s="1"/>
      <c r="F20" s="1"/>
      <c r="G20" s="1"/>
      <c r="H20" s="1"/>
      <c r="I20" s="1"/>
      <c r="L20" s="1" t="s">
        <v>32</v>
      </c>
      <c r="M20" s="9">
        <f>M19*0.33-M18</f>
        <v>71038.02362</v>
      </c>
      <c r="N20" s="6"/>
    </row>
    <row r="21">
      <c r="A21" s="10"/>
      <c r="B21" s="1"/>
      <c r="C21" s="1"/>
      <c r="D21" s="1"/>
      <c r="E21" s="1"/>
      <c r="F21" s="1"/>
      <c r="G21" s="1"/>
      <c r="H21" s="1"/>
      <c r="I21" s="1"/>
      <c r="L21" s="1" t="s">
        <v>33</v>
      </c>
      <c r="M21" s="9">
        <f>M18+M20</f>
        <v>37518.91208</v>
      </c>
      <c r="N21" s="6">
        <f>M21/M19</f>
        <v>0.33</v>
      </c>
      <c r="O21" s="9">
        <f>M21/25</f>
        <v>1500.756483</v>
      </c>
    </row>
    <row r="22">
      <c r="A22" s="10" t="s">
        <v>34</v>
      </c>
      <c r="B22" s="1">
        <v>3.0</v>
      </c>
      <c r="C22" s="1"/>
      <c r="D22" s="1"/>
      <c r="E22" s="1"/>
      <c r="F22" s="1"/>
      <c r="G22" s="1"/>
      <c r="H22" s="1"/>
      <c r="I22" s="1"/>
      <c r="L22" s="1" t="s">
        <v>35</v>
      </c>
      <c r="M22" s="9">
        <f>M19*0.45-G56</f>
        <v>-14436.48526</v>
      </c>
      <c r="N22" s="6"/>
    </row>
    <row r="23">
      <c r="A23" s="10"/>
      <c r="B23" s="11"/>
      <c r="C23" s="1"/>
      <c r="D23" s="1"/>
      <c r="E23" s="1"/>
      <c r="F23" s="1"/>
      <c r="G23" s="1"/>
      <c r="H23" s="1"/>
      <c r="I23" s="1"/>
      <c r="L23" s="1" t="s">
        <v>36</v>
      </c>
      <c r="M23" s="9">
        <f>M22+G56</f>
        <v>51162.15284</v>
      </c>
      <c r="N23" s="8">
        <f>M23/M19</f>
        <v>0.45</v>
      </c>
      <c r="O23" s="9">
        <f t="shared" ref="O23:O24" si="2">M23/25</f>
        <v>2046.486114</v>
      </c>
    </row>
    <row r="24">
      <c r="A24" s="10" t="s">
        <v>37</v>
      </c>
      <c r="B24" s="11">
        <f>B17/B19</f>
        <v>10904.43022</v>
      </c>
      <c r="C24" s="1"/>
      <c r="D24" s="1"/>
      <c r="E24" s="1"/>
      <c r="F24" s="1"/>
      <c r="G24" s="1"/>
      <c r="H24" s="1"/>
      <c r="I24" s="1"/>
      <c r="L24" s="1" t="s">
        <v>5</v>
      </c>
      <c r="M24" s="9">
        <f>M19-M21-M23</f>
        <v>25012.60806</v>
      </c>
      <c r="N24" s="8">
        <f>M24/M19</f>
        <v>0.22</v>
      </c>
      <c r="O24" s="9">
        <f t="shared" si="2"/>
        <v>1000.504322</v>
      </c>
    </row>
    <row r="25">
      <c r="A25" s="10" t="s">
        <v>38</v>
      </c>
      <c r="B25" s="7">
        <v>0.23</v>
      </c>
      <c r="C25" s="1"/>
      <c r="D25" s="1"/>
      <c r="E25" s="1"/>
      <c r="F25" s="1"/>
      <c r="G25" s="1"/>
      <c r="H25" s="1"/>
      <c r="I25" s="1"/>
      <c r="N25" s="8">
        <f>N21+N23+N24</f>
        <v>1</v>
      </c>
    </row>
    <row r="26">
      <c r="A26" s="10" t="s">
        <v>39</v>
      </c>
      <c r="B26" s="7">
        <v>0.3</v>
      </c>
      <c r="C26" s="1"/>
      <c r="D26" s="1"/>
      <c r="E26" s="1"/>
      <c r="F26" s="1"/>
      <c r="G26" s="1"/>
      <c r="H26" s="1"/>
      <c r="I26" s="1"/>
    </row>
    <row r="27">
      <c r="A27" s="10" t="s">
        <v>40</v>
      </c>
      <c r="B27" s="1">
        <f>B26*B17</f>
        <v>32713.29066</v>
      </c>
      <c r="C27" s="1"/>
      <c r="D27" s="1"/>
      <c r="E27" s="1"/>
      <c r="F27" s="1"/>
      <c r="G27" s="1"/>
      <c r="H27" s="1"/>
      <c r="I27" s="1"/>
      <c r="L27" s="1" t="s">
        <v>41</v>
      </c>
      <c r="M27" s="3">
        <f>M19/M17</f>
        <v>0.4169058697</v>
      </c>
    </row>
    <row r="28">
      <c r="A28" s="10" t="s">
        <v>42</v>
      </c>
      <c r="B28" s="1">
        <v>1.0</v>
      </c>
      <c r="C28" s="1"/>
      <c r="D28" s="1"/>
      <c r="E28" s="1"/>
      <c r="F28" s="1"/>
      <c r="G28" s="1"/>
      <c r="H28" s="1"/>
      <c r="I28" s="1"/>
    </row>
    <row r="29">
      <c r="A29" s="12"/>
      <c r="B29" s="1"/>
      <c r="C29" s="1"/>
      <c r="D29" s="1"/>
      <c r="E29" s="1"/>
      <c r="F29" s="1"/>
      <c r="G29" s="1"/>
      <c r="H29" s="1" t="s">
        <v>43</v>
      </c>
      <c r="I29" s="1">
        <v>0.2</v>
      </c>
    </row>
    <row r="30">
      <c r="A30" s="13" t="s">
        <v>44</v>
      </c>
      <c r="B30" s="14" t="s">
        <v>45</v>
      </c>
      <c r="C30" s="14" t="s">
        <v>46</v>
      </c>
      <c r="D30" s="14" t="s">
        <v>47</v>
      </c>
      <c r="E30" s="14" t="s">
        <v>48</v>
      </c>
      <c r="F30" s="14" t="s">
        <v>49</v>
      </c>
      <c r="G30" s="14" t="s">
        <v>50</v>
      </c>
      <c r="H30" s="14" t="s">
        <v>51</v>
      </c>
      <c r="I30" s="14" t="s">
        <v>52</v>
      </c>
      <c r="J30" s="14" t="s">
        <v>53</v>
      </c>
      <c r="K30" s="14" t="s">
        <v>54</v>
      </c>
      <c r="L30" s="14" t="s">
        <v>55</v>
      </c>
      <c r="M30" s="14" t="s">
        <v>56</v>
      </c>
      <c r="N30" s="14" t="s">
        <v>57</v>
      </c>
      <c r="O30" s="14" t="s">
        <v>58</v>
      </c>
      <c r="P30" s="14" t="s">
        <v>59</v>
      </c>
      <c r="Q30" s="14" t="s">
        <v>60</v>
      </c>
      <c r="R30" s="14" t="s">
        <v>61</v>
      </c>
      <c r="S30" s="14" t="s">
        <v>62</v>
      </c>
      <c r="T30" s="14" t="s">
        <v>63</v>
      </c>
    </row>
    <row r="31">
      <c r="A31" s="15">
        <v>0.0</v>
      </c>
      <c r="B31" s="3">
        <f t="shared" ref="B31:B55" si="3">POWER(1-$B$8,A31)*$B$3</f>
        <v>65000</v>
      </c>
      <c r="C31" s="3">
        <f t="shared" ref="C31:C55" si="4">POWER(1+$B$9,A31)</f>
        <v>1</v>
      </c>
      <c r="D31" s="5">
        <f t="shared" ref="D31:D55" si="5">$B$7*C31*$B$10</f>
        <v>599.743662</v>
      </c>
      <c r="E31" s="5">
        <f t="shared" ref="E31:E55" si="6">$B$7*$C31*$B$11</f>
        <v>599.743662</v>
      </c>
      <c r="F31" s="5">
        <f t="shared" ref="F31:F55" si="7">$B$7*$C31*$B$12</f>
        <v>599.743662</v>
      </c>
      <c r="G31" s="5">
        <f t="shared" ref="G31:G55" si="8">SUM(D31:F31)</f>
        <v>1799.230986</v>
      </c>
      <c r="H31" s="5">
        <f t="shared" ref="H31:H55" si="9">IF(A31=0,$B$17*$B$14*$B$13,H30*$B$13)</f>
        <v>16356.64533</v>
      </c>
      <c r="I31" s="5">
        <f t="shared" ref="I31:I55" si="10">$I$29*B31</f>
        <v>13000</v>
      </c>
      <c r="J31" s="5">
        <f t="shared" ref="J31:J55" si="11">MAX(IF(A31&gt;=$B$22,J30-$B$24,$B$17),0)</f>
        <v>109044.3022</v>
      </c>
      <c r="K31" s="5">
        <f t="shared" ref="K31:K55" si="12">IF(A31&gt;=$B$20,J31*$B$18,0)</f>
        <v>4361.772087</v>
      </c>
      <c r="L31" s="5">
        <f t="shared" ref="L31:L55" si="13">IF(A31=$B$28,$B$27,0)</f>
        <v>0</v>
      </c>
      <c r="M31" s="5">
        <f t="shared" ref="M31:M55" si="14">I31-G31-K31+L31</f>
        <v>6838.996927</v>
      </c>
      <c r="N31" s="5">
        <f t="shared" ref="N31:N55" si="15">M31-H31</f>
        <v>-9517.648401</v>
      </c>
      <c r="O31" s="5">
        <f t="shared" ref="O31:O55" si="16">IF(N31&lt;0,N31,0)</f>
        <v>-9517.648401</v>
      </c>
      <c r="P31" s="5">
        <f>N31-O31</f>
        <v>0</v>
      </c>
      <c r="Q31" s="5">
        <f t="shared" ref="Q31:Q55" si="17">$B$25*P31</f>
        <v>0</v>
      </c>
      <c r="R31" s="5">
        <f t="shared" ref="R31:R55" si="18">M31-Q31</f>
        <v>6838.996927</v>
      </c>
      <c r="S31" s="5">
        <f>IFERROR(__xludf.DUMMYFUNCTION("IF(ISBETWEEN(A31,$B$22,$B$22+$B$19-1),$B$24,0)"),0.0)</f>
        <v>0</v>
      </c>
      <c r="T31" s="5">
        <f t="shared" ref="T31:T55" si="19">R31-S31</f>
        <v>6838.996927</v>
      </c>
      <c r="U31" s="5">
        <f>T31</f>
        <v>6838.996927</v>
      </c>
    </row>
    <row r="32">
      <c r="A32" s="15">
        <v>1.0</v>
      </c>
      <c r="B32" s="3">
        <f t="shared" si="3"/>
        <v>64675</v>
      </c>
      <c r="C32" s="3">
        <f t="shared" si="4"/>
        <v>1.03</v>
      </c>
      <c r="D32" s="5">
        <f t="shared" si="5"/>
        <v>617.7359719</v>
      </c>
      <c r="E32" s="5">
        <f t="shared" si="6"/>
        <v>617.7359719</v>
      </c>
      <c r="F32" s="5">
        <f t="shared" si="7"/>
        <v>617.7359719</v>
      </c>
      <c r="G32" s="5">
        <f t="shared" si="8"/>
        <v>1853.207916</v>
      </c>
      <c r="H32" s="5">
        <f t="shared" si="9"/>
        <v>4906.993598</v>
      </c>
      <c r="I32" s="5">
        <f t="shared" si="10"/>
        <v>12935</v>
      </c>
      <c r="J32" s="5">
        <f t="shared" si="11"/>
        <v>109044.3022</v>
      </c>
      <c r="K32" s="5">
        <f t="shared" si="12"/>
        <v>4361.772087</v>
      </c>
      <c r="L32" s="5">
        <f t="shared" si="13"/>
        <v>32713.29066</v>
      </c>
      <c r="M32" s="5">
        <f t="shared" si="14"/>
        <v>39433.31065</v>
      </c>
      <c r="N32" s="5">
        <f t="shared" si="15"/>
        <v>34526.31705</v>
      </c>
      <c r="O32" s="5">
        <f t="shared" si="16"/>
        <v>0</v>
      </c>
      <c r="P32" s="5">
        <f t="shared" ref="P32:P55" si="20">IF(N32&gt;0,N32+O31,0)</f>
        <v>25008.66865</v>
      </c>
      <c r="Q32" s="5">
        <f t="shared" si="17"/>
        <v>5751.99379</v>
      </c>
      <c r="R32" s="5">
        <f t="shared" si="18"/>
        <v>33681.31686</v>
      </c>
      <c r="S32" s="5">
        <f>IFERROR(__xludf.DUMMYFUNCTION("IF(ISBETWEEN(A32,$B$22,$B$22+$B$19-1),$B$24,0)"),0.0)</f>
        <v>0</v>
      </c>
      <c r="T32" s="5">
        <f t="shared" si="19"/>
        <v>33681.31686</v>
      </c>
      <c r="U32" s="5">
        <f t="shared" ref="U32:U55" si="21">T32+U31</f>
        <v>40520.31379</v>
      </c>
    </row>
    <row r="33">
      <c r="A33" s="15">
        <v>2.0</v>
      </c>
      <c r="B33" s="3">
        <f t="shared" si="3"/>
        <v>64351.625</v>
      </c>
      <c r="C33" s="3">
        <f t="shared" si="4"/>
        <v>1.0609</v>
      </c>
      <c r="D33" s="5">
        <f t="shared" si="5"/>
        <v>636.268051</v>
      </c>
      <c r="E33" s="5">
        <f t="shared" si="6"/>
        <v>636.268051</v>
      </c>
      <c r="F33" s="5">
        <f t="shared" si="7"/>
        <v>636.268051</v>
      </c>
      <c r="G33" s="5">
        <f t="shared" si="8"/>
        <v>1908.804153</v>
      </c>
      <c r="H33" s="5">
        <f t="shared" si="9"/>
        <v>1472.098079</v>
      </c>
      <c r="I33" s="5">
        <f t="shared" si="10"/>
        <v>12870.325</v>
      </c>
      <c r="J33" s="5">
        <f t="shared" si="11"/>
        <v>109044.3022</v>
      </c>
      <c r="K33" s="5">
        <f t="shared" si="12"/>
        <v>4361.772087</v>
      </c>
      <c r="L33" s="5">
        <f t="shared" si="13"/>
        <v>0</v>
      </c>
      <c r="M33" s="5">
        <f t="shared" si="14"/>
        <v>6599.74876</v>
      </c>
      <c r="N33" s="5">
        <f t="shared" si="15"/>
        <v>5127.65068</v>
      </c>
      <c r="O33" s="5">
        <f t="shared" si="16"/>
        <v>0</v>
      </c>
      <c r="P33" s="5">
        <f t="shared" si="20"/>
        <v>5127.65068</v>
      </c>
      <c r="Q33" s="5">
        <f t="shared" si="17"/>
        <v>1179.359656</v>
      </c>
      <c r="R33" s="5">
        <f t="shared" si="18"/>
        <v>5420.389103</v>
      </c>
      <c r="S33" s="5">
        <f>IFERROR(__xludf.DUMMYFUNCTION("IF(ISBETWEEN(A33,$B$22,$B$22+$B$19-1),$B$24,0)"),0.0)</f>
        <v>0</v>
      </c>
      <c r="T33" s="5">
        <f t="shared" si="19"/>
        <v>5420.389103</v>
      </c>
      <c r="U33" s="5">
        <f t="shared" si="21"/>
        <v>45940.70289</v>
      </c>
    </row>
    <row r="34">
      <c r="A34" s="15">
        <v>3.0</v>
      </c>
      <c r="B34" s="3">
        <f t="shared" si="3"/>
        <v>64029.86688</v>
      </c>
      <c r="C34" s="3">
        <f t="shared" si="4"/>
        <v>1.092727</v>
      </c>
      <c r="D34" s="5">
        <f t="shared" si="5"/>
        <v>655.3560926</v>
      </c>
      <c r="E34" s="5">
        <f t="shared" si="6"/>
        <v>655.3560926</v>
      </c>
      <c r="F34" s="5">
        <f t="shared" si="7"/>
        <v>655.3560926</v>
      </c>
      <c r="G34" s="5">
        <f t="shared" si="8"/>
        <v>1966.068278</v>
      </c>
      <c r="H34" s="5">
        <f t="shared" si="9"/>
        <v>441.6294238</v>
      </c>
      <c r="I34" s="5">
        <f t="shared" si="10"/>
        <v>12805.97338</v>
      </c>
      <c r="J34" s="5">
        <f t="shared" si="11"/>
        <v>98139.87197</v>
      </c>
      <c r="K34" s="5">
        <f t="shared" si="12"/>
        <v>3925.594879</v>
      </c>
      <c r="L34" s="5">
        <f t="shared" si="13"/>
        <v>0</v>
      </c>
      <c r="M34" s="5">
        <f t="shared" si="14"/>
        <v>6914.310219</v>
      </c>
      <c r="N34" s="5">
        <f t="shared" si="15"/>
        <v>6472.680795</v>
      </c>
      <c r="O34" s="5">
        <f t="shared" si="16"/>
        <v>0</v>
      </c>
      <c r="P34" s="5">
        <f t="shared" si="20"/>
        <v>6472.680795</v>
      </c>
      <c r="Q34" s="5">
        <f t="shared" si="17"/>
        <v>1488.716583</v>
      </c>
      <c r="R34" s="5">
        <f t="shared" si="18"/>
        <v>5425.593636</v>
      </c>
      <c r="S34" s="5">
        <f>IFERROR(__xludf.DUMMYFUNCTION("IF(ISBETWEEN(A34,$B$22,$B$22+$B$19-1),$B$24,0)"),10904.430218357022)</f>
        <v>10904.43022</v>
      </c>
      <c r="T34" s="5">
        <f t="shared" si="19"/>
        <v>-5478.836582</v>
      </c>
      <c r="U34" s="5">
        <f t="shared" si="21"/>
        <v>40461.86631</v>
      </c>
    </row>
    <row r="35">
      <c r="A35" s="15">
        <v>4.0</v>
      </c>
      <c r="B35" s="3">
        <f t="shared" si="3"/>
        <v>63709.71754</v>
      </c>
      <c r="C35" s="3">
        <f t="shared" si="4"/>
        <v>1.12550881</v>
      </c>
      <c r="D35" s="5">
        <f t="shared" si="5"/>
        <v>675.0167753</v>
      </c>
      <c r="E35" s="5">
        <f t="shared" si="6"/>
        <v>675.0167753</v>
      </c>
      <c r="F35" s="5">
        <f t="shared" si="7"/>
        <v>675.0167753</v>
      </c>
      <c r="G35" s="5">
        <f t="shared" si="8"/>
        <v>2025.050326</v>
      </c>
      <c r="H35" s="5">
        <f t="shared" si="9"/>
        <v>132.4888272</v>
      </c>
      <c r="I35" s="5">
        <f t="shared" si="10"/>
        <v>12741.94351</v>
      </c>
      <c r="J35" s="5">
        <f t="shared" si="11"/>
        <v>87235.44175</v>
      </c>
      <c r="K35" s="5">
        <f t="shared" si="12"/>
        <v>3489.41767</v>
      </c>
      <c r="L35" s="5">
        <f t="shared" si="13"/>
        <v>0</v>
      </c>
      <c r="M35" s="5">
        <f t="shared" si="14"/>
        <v>7227.475512</v>
      </c>
      <c r="N35" s="5">
        <f t="shared" si="15"/>
        <v>7094.986685</v>
      </c>
      <c r="O35" s="5">
        <f t="shared" si="16"/>
        <v>0</v>
      </c>
      <c r="P35" s="5">
        <f t="shared" si="20"/>
        <v>7094.986685</v>
      </c>
      <c r="Q35" s="5">
        <f t="shared" si="17"/>
        <v>1631.846938</v>
      </c>
      <c r="R35" s="5">
        <f t="shared" si="18"/>
        <v>5595.628575</v>
      </c>
      <c r="S35" s="5">
        <f>IFERROR(__xludf.DUMMYFUNCTION("IF(ISBETWEEN(A35,$B$22,$B$22+$B$19-1),$B$24,0)"),10904.430218357022)</f>
        <v>10904.43022</v>
      </c>
      <c r="T35" s="5">
        <f t="shared" si="19"/>
        <v>-5308.801644</v>
      </c>
      <c r="U35" s="5">
        <f t="shared" si="21"/>
        <v>35153.06467</v>
      </c>
    </row>
    <row r="36">
      <c r="A36" s="15">
        <v>5.0</v>
      </c>
      <c r="B36" s="3">
        <f t="shared" si="3"/>
        <v>63391.16895</v>
      </c>
      <c r="C36" s="3">
        <f t="shared" si="4"/>
        <v>1.159274074</v>
      </c>
      <c r="D36" s="5">
        <f t="shared" si="5"/>
        <v>695.2672786</v>
      </c>
      <c r="E36" s="5">
        <f t="shared" si="6"/>
        <v>695.2672786</v>
      </c>
      <c r="F36" s="5">
        <f t="shared" si="7"/>
        <v>695.2672786</v>
      </c>
      <c r="G36" s="5">
        <f t="shared" si="8"/>
        <v>2085.801836</v>
      </c>
      <c r="H36" s="5">
        <f t="shared" si="9"/>
        <v>39.74664815</v>
      </c>
      <c r="I36" s="5">
        <f t="shared" si="10"/>
        <v>12678.23379</v>
      </c>
      <c r="J36" s="5">
        <f t="shared" si="11"/>
        <v>76331.01153</v>
      </c>
      <c r="K36" s="5">
        <f t="shared" si="12"/>
        <v>3053.240461</v>
      </c>
      <c r="L36" s="5">
        <f t="shared" si="13"/>
        <v>0</v>
      </c>
      <c r="M36" s="5">
        <f t="shared" si="14"/>
        <v>7539.191494</v>
      </c>
      <c r="N36" s="5">
        <f t="shared" si="15"/>
        <v>7499.444846</v>
      </c>
      <c r="O36" s="5">
        <f t="shared" si="16"/>
        <v>0</v>
      </c>
      <c r="P36" s="5">
        <f t="shared" si="20"/>
        <v>7499.444846</v>
      </c>
      <c r="Q36" s="5">
        <f t="shared" si="17"/>
        <v>1724.872314</v>
      </c>
      <c r="R36" s="5">
        <f t="shared" si="18"/>
        <v>5814.319179</v>
      </c>
      <c r="S36" s="5">
        <f>IFERROR(__xludf.DUMMYFUNCTION("IF(ISBETWEEN(A36,$B$22,$B$22+$B$19-1),$B$24,0)"),10904.430218357022)</f>
        <v>10904.43022</v>
      </c>
      <c r="T36" s="5">
        <f t="shared" si="19"/>
        <v>-5090.111039</v>
      </c>
      <c r="U36" s="5">
        <f t="shared" si="21"/>
        <v>30062.95363</v>
      </c>
    </row>
    <row r="37">
      <c r="A37" s="15">
        <v>6.0</v>
      </c>
      <c r="B37" s="3">
        <f t="shared" si="3"/>
        <v>63074.21311</v>
      </c>
      <c r="C37" s="3">
        <f t="shared" si="4"/>
        <v>1.194052297</v>
      </c>
      <c r="D37" s="5">
        <f t="shared" si="5"/>
        <v>716.125297</v>
      </c>
      <c r="E37" s="5">
        <f t="shared" si="6"/>
        <v>716.125297</v>
      </c>
      <c r="F37" s="5">
        <f t="shared" si="7"/>
        <v>716.125297</v>
      </c>
      <c r="G37" s="5">
        <f t="shared" si="8"/>
        <v>2148.375891</v>
      </c>
      <c r="H37" s="5">
        <f t="shared" si="9"/>
        <v>11.92399444</v>
      </c>
      <c r="I37" s="5">
        <f t="shared" si="10"/>
        <v>12614.84262</v>
      </c>
      <c r="J37" s="5">
        <f t="shared" si="11"/>
        <v>65426.58131</v>
      </c>
      <c r="K37" s="5">
        <f t="shared" si="12"/>
        <v>2617.063252</v>
      </c>
      <c r="L37" s="5">
        <f t="shared" si="13"/>
        <v>0</v>
      </c>
      <c r="M37" s="5">
        <f t="shared" si="14"/>
        <v>7849.403478</v>
      </c>
      <c r="N37" s="5">
        <f t="shared" si="15"/>
        <v>7837.479484</v>
      </c>
      <c r="O37" s="5">
        <f t="shared" si="16"/>
        <v>0</v>
      </c>
      <c r="P37" s="5">
        <f t="shared" si="20"/>
        <v>7837.479484</v>
      </c>
      <c r="Q37" s="5">
        <f t="shared" si="17"/>
        <v>1802.620281</v>
      </c>
      <c r="R37" s="5">
        <f t="shared" si="18"/>
        <v>6046.783197</v>
      </c>
      <c r="S37" s="5">
        <f>IFERROR(__xludf.DUMMYFUNCTION("IF(ISBETWEEN(A37,$B$22,$B$22+$B$19-1),$B$24,0)"),10904.430218357022)</f>
        <v>10904.43022</v>
      </c>
      <c r="T37" s="5">
        <f t="shared" si="19"/>
        <v>-4857.647021</v>
      </c>
      <c r="U37" s="5">
        <f t="shared" si="21"/>
        <v>25205.30661</v>
      </c>
    </row>
    <row r="38">
      <c r="A38" s="15">
        <v>7.0</v>
      </c>
      <c r="B38" s="3">
        <f t="shared" si="3"/>
        <v>62758.84204</v>
      </c>
      <c r="C38" s="3">
        <f t="shared" si="4"/>
        <v>1.229873865</v>
      </c>
      <c r="D38" s="5">
        <f t="shared" si="5"/>
        <v>737.6090559</v>
      </c>
      <c r="E38" s="5">
        <f t="shared" si="6"/>
        <v>737.6090559</v>
      </c>
      <c r="F38" s="5">
        <f t="shared" si="7"/>
        <v>737.6090559</v>
      </c>
      <c r="G38" s="5">
        <f t="shared" si="8"/>
        <v>2212.827168</v>
      </c>
      <c r="H38" s="5">
        <f t="shared" si="9"/>
        <v>3.577198333</v>
      </c>
      <c r="I38" s="5">
        <f t="shared" si="10"/>
        <v>12551.76841</v>
      </c>
      <c r="J38" s="5">
        <f t="shared" si="11"/>
        <v>54522.15109</v>
      </c>
      <c r="K38" s="5">
        <f t="shared" si="12"/>
        <v>2180.886044</v>
      </c>
      <c r="L38" s="5">
        <f t="shared" si="13"/>
        <v>0</v>
      </c>
      <c r="M38" s="5">
        <f t="shared" si="14"/>
        <v>8158.055197</v>
      </c>
      <c r="N38" s="5">
        <f t="shared" si="15"/>
        <v>8154.477999</v>
      </c>
      <c r="O38" s="5">
        <f t="shared" si="16"/>
        <v>0</v>
      </c>
      <c r="P38" s="5">
        <f t="shared" si="20"/>
        <v>8154.477999</v>
      </c>
      <c r="Q38" s="5">
        <f t="shared" si="17"/>
        <v>1875.52994</v>
      </c>
      <c r="R38" s="5">
        <f t="shared" si="18"/>
        <v>6282.525258</v>
      </c>
      <c r="S38" s="5">
        <f>IFERROR(__xludf.DUMMYFUNCTION("IF(ISBETWEEN(A38,$B$22,$B$22+$B$19-1),$B$24,0)"),10904.430218357022)</f>
        <v>10904.43022</v>
      </c>
      <c r="T38" s="5">
        <f t="shared" si="19"/>
        <v>-4621.904961</v>
      </c>
      <c r="U38" s="5">
        <f t="shared" si="21"/>
        <v>20583.40164</v>
      </c>
    </row>
    <row r="39">
      <c r="A39" s="15">
        <v>8.0</v>
      </c>
      <c r="B39" s="3">
        <f t="shared" si="3"/>
        <v>62445.04783</v>
      </c>
      <c r="C39" s="3">
        <f t="shared" si="4"/>
        <v>1.266770081</v>
      </c>
      <c r="D39" s="5">
        <f t="shared" si="5"/>
        <v>759.7373275</v>
      </c>
      <c r="E39" s="5">
        <f t="shared" si="6"/>
        <v>759.7373275</v>
      </c>
      <c r="F39" s="5">
        <f t="shared" si="7"/>
        <v>759.7373275</v>
      </c>
      <c r="G39" s="5">
        <f t="shared" si="8"/>
        <v>2279.211983</v>
      </c>
      <c r="H39" s="5">
        <f t="shared" si="9"/>
        <v>1.0731595</v>
      </c>
      <c r="I39" s="5">
        <f t="shared" si="10"/>
        <v>12489.00957</v>
      </c>
      <c r="J39" s="5">
        <f t="shared" si="11"/>
        <v>43617.72087</v>
      </c>
      <c r="K39" s="5">
        <f t="shared" si="12"/>
        <v>1744.708835</v>
      </c>
      <c r="L39" s="5">
        <f t="shared" si="13"/>
        <v>0</v>
      </c>
      <c r="M39" s="5">
        <f t="shared" si="14"/>
        <v>8465.088749</v>
      </c>
      <c r="N39" s="5">
        <f t="shared" si="15"/>
        <v>8464.015589</v>
      </c>
      <c r="O39" s="5">
        <f t="shared" si="16"/>
        <v>0</v>
      </c>
      <c r="P39" s="5">
        <f t="shared" si="20"/>
        <v>8464.015589</v>
      </c>
      <c r="Q39" s="5">
        <f t="shared" si="17"/>
        <v>1946.723586</v>
      </c>
      <c r="R39" s="5">
        <f t="shared" si="18"/>
        <v>6518.365163</v>
      </c>
      <c r="S39" s="5">
        <f>IFERROR(__xludf.DUMMYFUNCTION("IF(ISBETWEEN(A39,$B$22,$B$22+$B$19-1),$B$24,0)"),10904.430218357022)</f>
        <v>10904.43022</v>
      </c>
      <c r="T39" s="5">
        <f t="shared" si="19"/>
        <v>-4386.065055</v>
      </c>
      <c r="U39" s="5">
        <f t="shared" si="21"/>
        <v>16197.33659</v>
      </c>
    </row>
    <row r="40">
      <c r="A40" s="15">
        <v>9.0</v>
      </c>
      <c r="B40" s="3">
        <f t="shared" si="3"/>
        <v>62132.82259</v>
      </c>
      <c r="C40" s="3">
        <f t="shared" si="4"/>
        <v>1.304773184</v>
      </c>
      <c r="D40" s="5">
        <f t="shared" si="5"/>
        <v>782.5294474</v>
      </c>
      <c r="E40" s="5">
        <f t="shared" si="6"/>
        <v>782.5294474</v>
      </c>
      <c r="F40" s="5">
        <f t="shared" si="7"/>
        <v>782.5294474</v>
      </c>
      <c r="G40" s="5">
        <f t="shared" si="8"/>
        <v>2347.588342</v>
      </c>
      <c r="H40" s="5">
        <f t="shared" si="9"/>
        <v>0.32194785</v>
      </c>
      <c r="I40" s="5">
        <f t="shared" si="10"/>
        <v>12426.56452</v>
      </c>
      <c r="J40" s="5">
        <f t="shared" si="11"/>
        <v>32713.29066</v>
      </c>
      <c r="K40" s="5">
        <f t="shared" si="12"/>
        <v>1308.531626</v>
      </c>
      <c r="L40" s="5">
        <f t="shared" si="13"/>
        <v>0</v>
      </c>
      <c r="M40" s="5">
        <f t="shared" si="14"/>
        <v>8770.44455</v>
      </c>
      <c r="N40" s="5">
        <f t="shared" si="15"/>
        <v>8770.122603</v>
      </c>
      <c r="O40" s="5">
        <f t="shared" si="16"/>
        <v>0</v>
      </c>
      <c r="P40" s="5">
        <f t="shared" si="20"/>
        <v>8770.122603</v>
      </c>
      <c r="Q40" s="5">
        <f t="shared" si="17"/>
        <v>2017.128199</v>
      </c>
      <c r="R40" s="5">
        <f t="shared" si="18"/>
        <v>6753.316352</v>
      </c>
      <c r="S40" s="5">
        <f>IFERROR(__xludf.DUMMYFUNCTION("IF(ISBETWEEN(A40,$B$22,$B$22+$B$19-1),$B$24,0)"),10904.430218357022)</f>
        <v>10904.43022</v>
      </c>
      <c r="T40" s="5">
        <f t="shared" si="19"/>
        <v>-4151.113867</v>
      </c>
      <c r="U40" s="5">
        <f t="shared" si="21"/>
        <v>12046.22272</v>
      </c>
    </row>
    <row r="41">
      <c r="A41" s="15">
        <v>10.0</v>
      </c>
      <c r="B41" s="3">
        <f t="shared" si="3"/>
        <v>61822.15848</v>
      </c>
      <c r="C41" s="3">
        <f t="shared" si="4"/>
        <v>1.343916379</v>
      </c>
      <c r="D41" s="5">
        <f t="shared" si="5"/>
        <v>806.0053308</v>
      </c>
      <c r="E41" s="5">
        <f t="shared" si="6"/>
        <v>806.0053308</v>
      </c>
      <c r="F41" s="5">
        <f t="shared" si="7"/>
        <v>806.0053308</v>
      </c>
      <c r="G41" s="5">
        <f t="shared" si="8"/>
        <v>2418.015992</v>
      </c>
      <c r="H41" s="5">
        <f t="shared" si="9"/>
        <v>0.09658435499</v>
      </c>
      <c r="I41" s="5">
        <f t="shared" si="10"/>
        <v>12364.4317</v>
      </c>
      <c r="J41" s="5">
        <f t="shared" si="11"/>
        <v>21808.86044</v>
      </c>
      <c r="K41" s="5">
        <f t="shared" si="12"/>
        <v>872.3544175</v>
      </c>
      <c r="L41" s="5">
        <f t="shared" si="13"/>
        <v>0</v>
      </c>
      <c r="M41" s="5">
        <f t="shared" si="14"/>
        <v>9074.061286</v>
      </c>
      <c r="N41" s="5">
        <f t="shared" si="15"/>
        <v>9073.964702</v>
      </c>
      <c r="O41" s="5">
        <f t="shared" si="16"/>
        <v>0</v>
      </c>
      <c r="P41" s="5">
        <f t="shared" si="20"/>
        <v>9073.964702</v>
      </c>
      <c r="Q41" s="5">
        <f t="shared" si="17"/>
        <v>2087.011881</v>
      </c>
      <c r="R41" s="5">
        <f t="shared" si="18"/>
        <v>6987.049405</v>
      </c>
      <c r="S41" s="5">
        <f>IFERROR(__xludf.DUMMYFUNCTION("IF(ISBETWEEN(A41,$B$22,$B$22+$B$19-1),$B$24,0)"),10904.430218357022)</f>
        <v>10904.43022</v>
      </c>
      <c r="T41" s="5">
        <f t="shared" si="19"/>
        <v>-3917.380814</v>
      </c>
      <c r="U41" s="5">
        <f t="shared" si="21"/>
        <v>8128.841909</v>
      </c>
    </row>
    <row r="42">
      <c r="A42" s="15">
        <v>11.0</v>
      </c>
      <c r="B42" s="3">
        <f t="shared" si="3"/>
        <v>61513.04769</v>
      </c>
      <c r="C42" s="3">
        <f t="shared" si="4"/>
        <v>1.384233871</v>
      </c>
      <c r="D42" s="5">
        <f t="shared" si="5"/>
        <v>830.1854907</v>
      </c>
      <c r="E42" s="5">
        <f t="shared" si="6"/>
        <v>830.1854907</v>
      </c>
      <c r="F42" s="5">
        <f t="shared" si="7"/>
        <v>830.1854907</v>
      </c>
      <c r="G42" s="5">
        <f t="shared" si="8"/>
        <v>2490.556472</v>
      </c>
      <c r="H42" s="5">
        <f t="shared" si="9"/>
        <v>0.0289753065</v>
      </c>
      <c r="I42" s="5">
        <f t="shared" si="10"/>
        <v>12302.60954</v>
      </c>
      <c r="J42" s="5">
        <f t="shared" si="11"/>
        <v>10904.43022</v>
      </c>
      <c r="K42" s="5">
        <f t="shared" si="12"/>
        <v>436.1772087</v>
      </c>
      <c r="L42" s="5">
        <f t="shared" si="13"/>
        <v>0</v>
      </c>
      <c r="M42" s="5">
        <f t="shared" si="14"/>
        <v>9375.875857</v>
      </c>
      <c r="N42" s="5">
        <f t="shared" si="15"/>
        <v>9375.846881</v>
      </c>
      <c r="O42" s="5">
        <f t="shared" si="16"/>
        <v>0</v>
      </c>
      <c r="P42" s="5">
        <f t="shared" si="20"/>
        <v>9375.846881</v>
      </c>
      <c r="Q42" s="5">
        <f t="shared" si="17"/>
        <v>2156.444783</v>
      </c>
      <c r="R42" s="5">
        <f t="shared" si="18"/>
        <v>7219.431074</v>
      </c>
      <c r="S42" s="5">
        <f>IFERROR(__xludf.DUMMYFUNCTION("IF(ISBETWEEN(A42,$B$22,$B$22+$B$19-1),$B$24,0)"),10904.430218357022)</f>
        <v>10904.43022</v>
      </c>
      <c r="T42" s="5">
        <f t="shared" si="19"/>
        <v>-3684.999144</v>
      </c>
      <c r="U42" s="5">
        <f t="shared" si="21"/>
        <v>4443.842765</v>
      </c>
    </row>
    <row r="43">
      <c r="A43" s="15">
        <v>12.0</v>
      </c>
      <c r="B43" s="3">
        <f t="shared" si="3"/>
        <v>61205.48245</v>
      </c>
      <c r="C43" s="3">
        <f t="shared" si="4"/>
        <v>1.425760887</v>
      </c>
      <c r="D43" s="5">
        <f t="shared" si="5"/>
        <v>855.0910554</v>
      </c>
      <c r="E43" s="5">
        <f t="shared" si="6"/>
        <v>855.0910554</v>
      </c>
      <c r="F43" s="5">
        <f t="shared" si="7"/>
        <v>855.0910554</v>
      </c>
      <c r="G43" s="5">
        <f t="shared" si="8"/>
        <v>2565.273166</v>
      </c>
      <c r="H43" s="5">
        <f t="shared" si="9"/>
        <v>0.00869259195</v>
      </c>
      <c r="I43" s="5">
        <f t="shared" si="10"/>
        <v>12241.09649</v>
      </c>
      <c r="J43" s="5">
        <f t="shared" si="11"/>
        <v>0</v>
      </c>
      <c r="K43" s="5">
        <f t="shared" si="12"/>
        <v>0</v>
      </c>
      <c r="L43" s="5">
        <f t="shared" si="13"/>
        <v>0</v>
      </c>
      <c r="M43" s="5">
        <f t="shared" si="14"/>
        <v>9675.823324</v>
      </c>
      <c r="N43" s="5">
        <f t="shared" si="15"/>
        <v>9675.814631</v>
      </c>
      <c r="O43" s="5">
        <f t="shared" si="16"/>
        <v>0</v>
      </c>
      <c r="P43" s="5">
        <f t="shared" si="20"/>
        <v>9675.814631</v>
      </c>
      <c r="Q43" s="5">
        <f t="shared" si="17"/>
        <v>2225.437365</v>
      </c>
      <c r="R43" s="5">
        <f t="shared" si="18"/>
        <v>7450.385958</v>
      </c>
      <c r="S43" s="5">
        <f>IFERROR(__xludf.DUMMYFUNCTION("IF(ISBETWEEN(A43,$B$22,$B$22+$B$19-1),$B$24,0)"),10904.430218357022)</f>
        <v>10904.43022</v>
      </c>
      <c r="T43" s="5">
        <f t="shared" si="19"/>
        <v>-3454.04426</v>
      </c>
      <c r="U43" s="5">
        <f t="shared" si="21"/>
        <v>989.7985049</v>
      </c>
    </row>
    <row r="44">
      <c r="A44" s="15">
        <v>13.0</v>
      </c>
      <c r="B44" s="3">
        <f t="shared" si="3"/>
        <v>60899.45504</v>
      </c>
      <c r="C44" s="3">
        <f t="shared" si="4"/>
        <v>1.468533713</v>
      </c>
      <c r="D44" s="5">
        <f t="shared" si="5"/>
        <v>880.7437871</v>
      </c>
      <c r="E44" s="5">
        <f t="shared" si="6"/>
        <v>880.7437871</v>
      </c>
      <c r="F44" s="5">
        <f t="shared" si="7"/>
        <v>880.7437871</v>
      </c>
      <c r="G44" s="5">
        <f t="shared" si="8"/>
        <v>2642.231361</v>
      </c>
      <c r="H44" s="5">
        <f t="shared" si="9"/>
        <v>0.002607777585</v>
      </c>
      <c r="I44" s="5">
        <f t="shared" si="10"/>
        <v>12179.89101</v>
      </c>
      <c r="J44" s="5">
        <f t="shared" si="11"/>
        <v>0</v>
      </c>
      <c r="K44" s="5">
        <f t="shared" si="12"/>
        <v>0</v>
      </c>
      <c r="L44" s="5">
        <f t="shared" si="13"/>
        <v>0</v>
      </c>
      <c r="M44" s="5">
        <f t="shared" si="14"/>
        <v>9537.659646</v>
      </c>
      <c r="N44" s="5">
        <f t="shared" si="15"/>
        <v>9537.657038</v>
      </c>
      <c r="O44" s="5">
        <f t="shared" si="16"/>
        <v>0</v>
      </c>
      <c r="P44" s="5">
        <f t="shared" si="20"/>
        <v>9537.657038</v>
      </c>
      <c r="Q44" s="5">
        <f t="shared" si="17"/>
        <v>2193.661119</v>
      </c>
      <c r="R44" s="5">
        <f t="shared" si="18"/>
        <v>7343.998527</v>
      </c>
      <c r="S44" s="5">
        <f>IFERROR(__xludf.DUMMYFUNCTION("IF(ISBETWEEN(A44,$B$22,$B$22+$B$19-1),$B$24,0)"),0.0)</f>
        <v>0</v>
      </c>
      <c r="T44" s="5">
        <f t="shared" si="19"/>
        <v>7343.998527</v>
      </c>
      <c r="U44" s="5">
        <f t="shared" si="21"/>
        <v>8333.797032</v>
      </c>
    </row>
    <row r="45">
      <c r="A45" s="15">
        <v>14.0</v>
      </c>
      <c r="B45" s="3">
        <f t="shared" si="3"/>
        <v>60594.95776</v>
      </c>
      <c r="C45" s="3">
        <f t="shared" si="4"/>
        <v>1.512589725</v>
      </c>
      <c r="D45" s="5">
        <f t="shared" si="5"/>
        <v>907.1661007</v>
      </c>
      <c r="E45" s="5">
        <f t="shared" si="6"/>
        <v>907.1661007</v>
      </c>
      <c r="F45" s="5">
        <f t="shared" si="7"/>
        <v>907.1661007</v>
      </c>
      <c r="G45" s="5">
        <f t="shared" si="8"/>
        <v>2721.498302</v>
      </c>
      <c r="H45" s="5">
        <f t="shared" si="9"/>
        <v>0.0007823332755</v>
      </c>
      <c r="I45" s="5">
        <f t="shared" si="10"/>
        <v>12118.99155</v>
      </c>
      <c r="J45" s="5">
        <f t="shared" si="11"/>
        <v>0</v>
      </c>
      <c r="K45" s="5">
        <f t="shared" si="12"/>
        <v>0</v>
      </c>
      <c r="L45" s="5">
        <f t="shared" si="13"/>
        <v>0</v>
      </c>
      <c r="M45" s="5">
        <f t="shared" si="14"/>
        <v>9397.49325</v>
      </c>
      <c r="N45" s="5">
        <f t="shared" si="15"/>
        <v>9397.492468</v>
      </c>
      <c r="O45" s="5">
        <f t="shared" si="16"/>
        <v>0</v>
      </c>
      <c r="P45" s="5">
        <f t="shared" si="20"/>
        <v>9397.492468</v>
      </c>
      <c r="Q45" s="5">
        <f t="shared" si="17"/>
        <v>2161.423268</v>
      </c>
      <c r="R45" s="5">
        <f t="shared" si="18"/>
        <v>7236.069983</v>
      </c>
      <c r="S45" s="5">
        <f>IFERROR(__xludf.DUMMYFUNCTION("IF(ISBETWEEN(A45,$B$22,$B$22+$B$19-1),$B$24,0)"),0.0)</f>
        <v>0</v>
      </c>
      <c r="T45" s="5">
        <f t="shared" si="19"/>
        <v>7236.069983</v>
      </c>
      <c r="U45" s="5">
        <f t="shared" si="21"/>
        <v>15569.86701</v>
      </c>
    </row>
    <row r="46">
      <c r="A46" s="15">
        <v>15.0</v>
      </c>
      <c r="B46" s="3">
        <f t="shared" si="3"/>
        <v>60291.98297</v>
      </c>
      <c r="C46" s="3">
        <f t="shared" si="4"/>
        <v>1.557967417</v>
      </c>
      <c r="D46" s="5">
        <f t="shared" si="5"/>
        <v>934.3810837</v>
      </c>
      <c r="E46" s="5">
        <f t="shared" si="6"/>
        <v>934.3810837</v>
      </c>
      <c r="F46" s="5">
        <f t="shared" si="7"/>
        <v>934.3810837</v>
      </c>
      <c r="G46" s="5">
        <f t="shared" si="8"/>
        <v>2803.143251</v>
      </c>
      <c r="H46" s="5">
        <f t="shared" si="9"/>
        <v>0.0002346999826</v>
      </c>
      <c r="I46" s="5">
        <f t="shared" si="10"/>
        <v>12058.39659</v>
      </c>
      <c r="J46" s="5">
        <f t="shared" si="11"/>
        <v>0</v>
      </c>
      <c r="K46" s="5">
        <f t="shared" si="12"/>
        <v>0</v>
      </c>
      <c r="L46" s="5">
        <f t="shared" si="13"/>
        <v>0</v>
      </c>
      <c r="M46" s="5">
        <f t="shared" si="14"/>
        <v>9255.253343</v>
      </c>
      <c r="N46" s="5">
        <f t="shared" si="15"/>
        <v>9255.253109</v>
      </c>
      <c r="O46" s="5">
        <f t="shared" si="16"/>
        <v>0</v>
      </c>
      <c r="P46" s="5">
        <f t="shared" si="20"/>
        <v>9255.253109</v>
      </c>
      <c r="Q46" s="5">
        <f t="shared" si="17"/>
        <v>2128.708215</v>
      </c>
      <c r="R46" s="5">
        <f t="shared" si="18"/>
        <v>7126.545128</v>
      </c>
      <c r="S46" s="5">
        <f>IFERROR(__xludf.DUMMYFUNCTION("IF(ISBETWEEN(A46,$B$22,$B$22+$B$19-1),$B$24,0)"),0.0)</f>
        <v>0</v>
      </c>
      <c r="T46" s="5">
        <f t="shared" si="19"/>
        <v>7126.545128</v>
      </c>
      <c r="U46" s="5">
        <f t="shared" si="21"/>
        <v>22696.41214</v>
      </c>
    </row>
    <row r="47">
      <c r="A47" s="15">
        <v>16.0</v>
      </c>
      <c r="B47" s="3">
        <f t="shared" si="3"/>
        <v>59990.52306</v>
      </c>
      <c r="C47" s="3">
        <f t="shared" si="4"/>
        <v>1.604706439</v>
      </c>
      <c r="D47" s="5">
        <f t="shared" si="5"/>
        <v>962.4125162</v>
      </c>
      <c r="E47" s="5">
        <f t="shared" si="6"/>
        <v>962.4125162</v>
      </c>
      <c r="F47" s="5">
        <f t="shared" si="7"/>
        <v>962.4125162</v>
      </c>
      <c r="G47" s="5">
        <f t="shared" si="8"/>
        <v>2887.237549</v>
      </c>
      <c r="H47" s="5">
        <f t="shared" si="9"/>
        <v>0.00007040999479</v>
      </c>
      <c r="I47" s="5">
        <f t="shared" si="10"/>
        <v>11998.10461</v>
      </c>
      <c r="J47" s="5">
        <f t="shared" si="11"/>
        <v>0</v>
      </c>
      <c r="K47" s="5">
        <f t="shared" si="12"/>
        <v>0</v>
      </c>
      <c r="L47" s="5">
        <f t="shared" si="13"/>
        <v>0</v>
      </c>
      <c r="M47" s="5">
        <f t="shared" si="14"/>
        <v>9110.867063</v>
      </c>
      <c r="N47" s="5">
        <f t="shared" si="15"/>
        <v>9110.866993</v>
      </c>
      <c r="O47" s="5">
        <f t="shared" si="16"/>
        <v>0</v>
      </c>
      <c r="P47" s="5">
        <f t="shared" si="20"/>
        <v>9110.866993</v>
      </c>
      <c r="Q47" s="5">
        <f t="shared" si="17"/>
        <v>2095.499408</v>
      </c>
      <c r="R47" s="5">
        <f t="shared" si="18"/>
        <v>7015.367655</v>
      </c>
      <c r="S47" s="5">
        <f>IFERROR(__xludf.DUMMYFUNCTION("IF(ISBETWEEN(A47,$B$22,$B$22+$B$19-1),$B$24,0)"),0.0)</f>
        <v>0</v>
      </c>
      <c r="T47" s="5">
        <f t="shared" si="19"/>
        <v>7015.367655</v>
      </c>
      <c r="U47" s="5">
        <f t="shared" si="21"/>
        <v>29711.7798</v>
      </c>
    </row>
    <row r="48">
      <c r="A48" s="15">
        <v>17.0</v>
      </c>
      <c r="B48" s="3">
        <f t="shared" si="3"/>
        <v>59690.57044</v>
      </c>
      <c r="C48" s="3">
        <f t="shared" si="4"/>
        <v>1.652847632</v>
      </c>
      <c r="D48" s="5">
        <f t="shared" si="5"/>
        <v>991.2848917</v>
      </c>
      <c r="E48" s="5">
        <f t="shared" si="6"/>
        <v>991.2848917</v>
      </c>
      <c r="F48" s="5">
        <f t="shared" si="7"/>
        <v>991.2848917</v>
      </c>
      <c r="G48" s="5">
        <f t="shared" si="8"/>
        <v>2973.854675</v>
      </c>
      <c r="H48" s="5">
        <f t="shared" si="9"/>
        <v>0.00002112299844</v>
      </c>
      <c r="I48" s="5">
        <f t="shared" si="10"/>
        <v>11938.11409</v>
      </c>
      <c r="J48" s="5">
        <f t="shared" si="11"/>
        <v>0</v>
      </c>
      <c r="K48" s="5">
        <f t="shared" si="12"/>
        <v>0</v>
      </c>
      <c r="L48" s="5">
        <f t="shared" si="13"/>
        <v>0</v>
      </c>
      <c r="M48" s="5">
        <f t="shared" si="14"/>
        <v>8964.259413</v>
      </c>
      <c r="N48" s="5">
        <f t="shared" si="15"/>
        <v>8964.259392</v>
      </c>
      <c r="O48" s="5">
        <f t="shared" si="16"/>
        <v>0</v>
      </c>
      <c r="P48" s="5">
        <f t="shared" si="20"/>
        <v>8964.259392</v>
      </c>
      <c r="Q48" s="5">
        <f t="shared" si="17"/>
        <v>2061.77966</v>
      </c>
      <c r="R48" s="5">
        <f t="shared" si="18"/>
        <v>6902.479753</v>
      </c>
      <c r="S48" s="5">
        <f>IFERROR(__xludf.DUMMYFUNCTION("IF(ISBETWEEN(A48,$B$22,$B$22+$B$19-1),$B$24,0)"),0.0)</f>
        <v>0</v>
      </c>
      <c r="T48" s="5">
        <f t="shared" si="19"/>
        <v>6902.479753</v>
      </c>
      <c r="U48" s="5">
        <f t="shared" si="21"/>
        <v>36614.25955</v>
      </c>
    </row>
    <row r="49">
      <c r="A49" s="15">
        <v>18.0</v>
      </c>
      <c r="B49" s="3">
        <f t="shared" si="3"/>
        <v>59392.11759</v>
      </c>
      <c r="C49" s="3">
        <f t="shared" si="4"/>
        <v>1.702433061</v>
      </c>
      <c r="D49" s="5">
        <f t="shared" si="5"/>
        <v>1021.023438</v>
      </c>
      <c r="E49" s="5">
        <f t="shared" si="6"/>
        <v>1021.023438</v>
      </c>
      <c r="F49" s="5">
        <f t="shared" si="7"/>
        <v>1021.023438</v>
      </c>
      <c r="G49" s="5">
        <f t="shared" si="8"/>
        <v>3063.070315</v>
      </c>
      <c r="H49" s="5">
        <f t="shared" si="9"/>
        <v>0.000006336899531</v>
      </c>
      <c r="I49" s="5">
        <f t="shared" si="10"/>
        <v>11878.42352</v>
      </c>
      <c r="J49" s="5">
        <f t="shared" si="11"/>
        <v>0</v>
      </c>
      <c r="K49" s="5">
        <f t="shared" si="12"/>
        <v>0</v>
      </c>
      <c r="L49" s="5">
        <f t="shared" si="13"/>
        <v>0</v>
      </c>
      <c r="M49" s="5">
        <f t="shared" si="14"/>
        <v>8815.353203</v>
      </c>
      <c r="N49" s="5">
        <f t="shared" si="15"/>
        <v>8815.353196</v>
      </c>
      <c r="O49" s="5">
        <f t="shared" si="16"/>
        <v>0</v>
      </c>
      <c r="P49" s="5">
        <f t="shared" si="20"/>
        <v>8815.353196</v>
      </c>
      <c r="Q49" s="5">
        <f t="shared" si="17"/>
        <v>2027.531235</v>
      </c>
      <c r="R49" s="5">
        <f t="shared" si="18"/>
        <v>6787.821968</v>
      </c>
      <c r="S49" s="5">
        <f>IFERROR(__xludf.DUMMYFUNCTION("IF(ISBETWEEN(A49,$B$22,$B$22+$B$19-1),$B$24,0)"),0.0)</f>
        <v>0</v>
      </c>
      <c r="T49" s="5">
        <f t="shared" si="19"/>
        <v>6787.821968</v>
      </c>
      <c r="U49" s="5">
        <f t="shared" si="21"/>
        <v>43402.08152</v>
      </c>
    </row>
    <row r="50">
      <c r="A50" s="15">
        <v>19.0</v>
      </c>
      <c r="B50" s="3">
        <f t="shared" si="3"/>
        <v>59095.157</v>
      </c>
      <c r="C50" s="3">
        <f t="shared" si="4"/>
        <v>1.753506053</v>
      </c>
      <c r="D50" s="5">
        <f t="shared" si="5"/>
        <v>1051.654142</v>
      </c>
      <c r="E50" s="5">
        <f t="shared" si="6"/>
        <v>1051.654142</v>
      </c>
      <c r="F50" s="5">
        <f t="shared" si="7"/>
        <v>1051.654142</v>
      </c>
      <c r="G50" s="5">
        <f t="shared" si="8"/>
        <v>3154.962425</v>
      </c>
      <c r="H50" s="5">
        <f t="shared" si="9"/>
        <v>0.000001901069859</v>
      </c>
      <c r="I50" s="5">
        <f t="shared" si="10"/>
        <v>11819.0314</v>
      </c>
      <c r="J50" s="5">
        <f t="shared" si="11"/>
        <v>0</v>
      </c>
      <c r="K50" s="5">
        <f t="shared" si="12"/>
        <v>0</v>
      </c>
      <c r="L50" s="5">
        <f t="shared" si="13"/>
        <v>0</v>
      </c>
      <c r="M50" s="5">
        <f t="shared" si="14"/>
        <v>8664.068976</v>
      </c>
      <c r="N50" s="5">
        <f t="shared" si="15"/>
        <v>8664.068974</v>
      </c>
      <c r="O50" s="5">
        <f t="shared" si="16"/>
        <v>0</v>
      </c>
      <c r="P50" s="5">
        <f t="shared" si="20"/>
        <v>8664.068974</v>
      </c>
      <c r="Q50" s="5">
        <f t="shared" si="17"/>
        <v>1992.735864</v>
      </c>
      <c r="R50" s="5">
        <f t="shared" si="18"/>
        <v>6671.333112</v>
      </c>
      <c r="S50" s="5">
        <f>IFERROR(__xludf.DUMMYFUNCTION("IF(ISBETWEEN(A50,$B$22,$B$22+$B$19-1),$B$24,0)"),0.0)</f>
        <v>0</v>
      </c>
      <c r="T50" s="5">
        <f t="shared" si="19"/>
        <v>6671.333112</v>
      </c>
      <c r="U50" s="5">
        <f t="shared" si="21"/>
        <v>50073.41463</v>
      </c>
    </row>
    <row r="51">
      <c r="A51" s="15">
        <v>20.0</v>
      </c>
      <c r="B51" s="3">
        <f t="shared" si="3"/>
        <v>58799.68122</v>
      </c>
      <c r="C51" s="3">
        <f t="shared" si="4"/>
        <v>1.806111235</v>
      </c>
      <c r="D51" s="5">
        <f t="shared" si="5"/>
        <v>1083.203766</v>
      </c>
      <c r="E51" s="5">
        <f t="shared" si="6"/>
        <v>1083.203766</v>
      </c>
      <c r="F51" s="5">
        <f t="shared" si="7"/>
        <v>1083.203766</v>
      </c>
      <c r="G51" s="5">
        <f t="shared" si="8"/>
        <v>3249.611298</v>
      </c>
      <c r="H51" s="5">
        <f t="shared" si="9"/>
        <v>0.0000005703209578</v>
      </c>
      <c r="I51" s="5">
        <f t="shared" si="10"/>
        <v>11759.93624</v>
      </c>
      <c r="J51" s="5">
        <f t="shared" si="11"/>
        <v>0</v>
      </c>
      <c r="K51" s="5">
        <f t="shared" si="12"/>
        <v>0</v>
      </c>
      <c r="L51" s="5">
        <f t="shared" si="13"/>
        <v>0</v>
      </c>
      <c r="M51" s="5">
        <f t="shared" si="14"/>
        <v>8510.324946</v>
      </c>
      <c r="N51" s="5">
        <f t="shared" si="15"/>
        <v>8510.324945</v>
      </c>
      <c r="O51" s="5">
        <f t="shared" si="16"/>
        <v>0</v>
      </c>
      <c r="P51" s="5">
        <f t="shared" si="20"/>
        <v>8510.324945</v>
      </c>
      <c r="Q51" s="5">
        <f t="shared" si="17"/>
        <v>1957.374737</v>
      </c>
      <c r="R51" s="5">
        <f t="shared" si="18"/>
        <v>6552.950209</v>
      </c>
      <c r="S51" s="5">
        <f>IFERROR(__xludf.DUMMYFUNCTION("IF(ISBETWEEN(A51,$B$22,$B$22+$B$19-1),$B$24,0)"),0.0)</f>
        <v>0</v>
      </c>
      <c r="T51" s="5">
        <f t="shared" si="19"/>
        <v>6552.950209</v>
      </c>
      <c r="U51" s="5">
        <f t="shared" si="21"/>
        <v>56626.36484</v>
      </c>
    </row>
    <row r="52">
      <c r="A52" s="15">
        <v>21.0</v>
      </c>
      <c r="B52" s="3">
        <f t="shared" si="3"/>
        <v>58505.68281</v>
      </c>
      <c r="C52" s="3">
        <f t="shared" si="4"/>
        <v>1.860294572</v>
      </c>
      <c r="D52" s="5">
        <f t="shared" si="5"/>
        <v>1115.699879</v>
      </c>
      <c r="E52" s="5">
        <f t="shared" si="6"/>
        <v>1115.699879</v>
      </c>
      <c r="F52" s="5">
        <f t="shared" si="7"/>
        <v>1115.699879</v>
      </c>
      <c r="G52" s="5">
        <f t="shared" si="8"/>
        <v>3347.099637</v>
      </c>
      <c r="H52" s="5">
        <f t="shared" si="9"/>
        <v>0.0000001710962873</v>
      </c>
      <c r="I52" s="5">
        <f t="shared" si="10"/>
        <v>11701.13656</v>
      </c>
      <c r="J52" s="5">
        <f t="shared" si="11"/>
        <v>0</v>
      </c>
      <c r="K52" s="5">
        <f t="shared" si="12"/>
        <v>0</v>
      </c>
      <c r="L52" s="5">
        <f t="shared" si="13"/>
        <v>0</v>
      </c>
      <c r="M52" s="5">
        <f t="shared" si="14"/>
        <v>8354.036926</v>
      </c>
      <c r="N52" s="5">
        <f t="shared" si="15"/>
        <v>8354.036926</v>
      </c>
      <c r="O52" s="5">
        <f t="shared" si="16"/>
        <v>0</v>
      </c>
      <c r="P52" s="5">
        <f t="shared" si="20"/>
        <v>8354.036926</v>
      </c>
      <c r="Q52" s="5">
        <f t="shared" si="17"/>
        <v>1921.428493</v>
      </c>
      <c r="R52" s="5">
        <f t="shared" si="18"/>
        <v>6432.608433</v>
      </c>
      <c r="S52" s="5">
        <f>IFERROR(__xludf.DUMMYFUNCTION("IF(ISBETWEEN(A52,$B$22,$B$22+$B$19-1),$B$24,0)"),0.0)</f>
        <v>0</v>
      </c>
      <c r="T52" s="5">
        <f t="shared" si="19"/>
        <v>6432.608433</v>
      </c>
      <c r="U52" s="5">
        <f t="shared" si="21"/>
        <v>63058.97327</v>
      </c>
    </row>
    <row r="53">
      <c r="A53" s="15">
        <v>22.0</v>
      </c>
      <c r="B53" s="3">
        <f t="shared" si="3"/>
        <v>58213.1544</v>
      </c>
      <c r="C53" s="3">
        <f t="shared" si="4"/>
        <v>1.916103409</v>
      </c>
      <c r="D53" s="5">
        <f t="shared" si="5"/>
        <v>1149.170875</v>
      </c>
      <c r="E53" s="5">
        <f t="shared" si="6"/>
        <v>1149.170875</v>
      </c>
      <c r="F53" s="5">
        <f t="shared" si="7"/>
        <v>1149.170875</v>
      </c>
      <c r="G53" s="5">
        <f t="shared" si="8"/>
        <v>3447.512626</v>
      </c>
      <c r="H53" s="5">
        <f t="shared" si="9"/>
        <v>0.0000000513288862</v>
      </c>
      <c r="I53" s="5">
        <f t="shared" si="10"/>
        <v>11642.63088</v>
      </c>
      <c r="J53" s="5">
        <f t="shared" si="11"/>
        <v>0</v>
      </c>
      <c r="K53" s="5">
        <f t="shared" si="12"/>
        <v>0</v>
      </c>
      <c r="L53" s="5">
        <f t="shared" si="13"/>
        <v>0</v>
      </c>
      <c r="M53" s="5">
        <f t="shared" si="14"/>
        <v>8195.118254</v>
      </c>
      <c r="N53" s="5">
        <f t="shared" si="15"/>
        <v>8195.118254</v>
      </c>
      <c r="O53" s="5">
        <f t="shared" si="16"/>
        <v>0</v>
      </c>
      <c r="P53" s="5">
        <f t="shared" si="20"/>
        <v>8195.118254</v>
      </c>
      <c r="Q53" s="5">
        <f t="shared" si="17"/>
        <v>1884.877198</v>
      </c>
      <c r="R53" s="5">
        <f t="shared" si="18"/>
        <v>6310.241056</v>
      </c>
      <c r="S53" s="5">
        <f>IFERROR(__xludf.DUMMYFUNCTION("IF(ISBETWEEN(A53,$B$22,$B$22+$B$19-1),$B$24,0)"),0.0)</f>
        <v>0</v>
      </c>
      <c r="T53" s="5">
        <f t="shared" si="19"/>
        <v>6310.241056</v>
      </c>
      <c r="U53" s="5">
        <f t="shared" si="21"/>
        <v>69369.21433</v>
      </c>
    </row>
    <row r="54">
      <c r="A54" s="15">
        <v>23.0</v>
      </c>
      <c r="B54" s="3">
        <f t="shared" si="3"/>
        <v>57922.08863</v>
      </c>
      <c r="C54" s="3">
        <f t="shared" si="4"/>
        <v>1.973586511</v>
      </c>
      <c r="D54" s="5">
        <f t="shared" si="5"/>
        <v>1183.646001</v>
      </c>
      <c r="E54" s="5">
        <f t="shared" si="6"/>
        <v>1183.646001</v>
      </c>
      <c r="F54" s="5">
        <f t="shared" si="7"/>
        <v>1183.646001</v>
      </c>
      <c r="G54" s="5">
        <f t="shared" si="8"/>
        <v>3550.938004</v>
      </c>
      <c r="H54" s="5">
        <f t="shared" si="9"/>
        <v>0.00000001539866586</v>
      </c>
      <c r="I54" s="5">
        <f t="shared" si="10"/>
        <v>11584.41773</v>
      </c>
      <c r="J54" s="5">
        <f t="shared" si="11"/>
        <v>0</v>
      </c>
      <c r="K54" s="5">
        <f t="shared" si="12"/>
        <v>0</v>
      </c>
      <c r="L54" s="5">
        <f t="shared" si="13"/>
        <v>0</v>
      </c>
      <c r="M54" s="5">
        <f t="shared" si="14"/>
        <v>8033.479721</v>
      </c>
      <c r="N54" s="5">
        <f t="shared" si="15"/>
        <v>8033.479721</v>
      </c>
      <c r="O54" s="5">
        <f t="shared" si="16"/>
        <v>0</v>
      </c>
      <c r="P54" s="5">
        <f t="shared" si="20"/>
        <v>8033.479721</v>
      </c>
      <c r="Q54" s="5">
        <f t="shared" si="17"/>
        <v>1847.700336</v>
      </c>
      <c r="R54" s="5">
        <f t="shared" si="18"/>
        <v>6185.779385</v>
      </c>
      <c r="S54" s="5">
        <f>IFERROR(__xludf.DUMMYFUNCTION("IF(ISBETWEEN(A54,$B$22,$B$22+$B$19-1),$B$24,0)"),0.0)</f>
        <v>0</v>
      </c>
      <c r="T54" s="5">
        <f t="shared" si="19"/>
        <v>6185.779385</v>
      </c>
      <c r="U54" s="5">
        <f t="shared" si="21"/>
        <v>75554.99371</v>
      </c>
    </row>
    <row r="55">
      <c r="A55" s="15">
        <v>24.0</v>
      </c>
      <c r="B55" s="3">
        <f t="shared" si="3"/>
        <v>57632.47818</v>
      </c>
      <c r="C55" s="3">
        <f t="shared" si="4"/>
        <v>2.032794106</v>
      </c>
      <c r="D55" s="5">
        <f t="shared" si="5"/>
        <v>1219.155382</v>
      </c>
      <c r="E55" s="5">
        <f t="shared" si="6"/>
        <v>1219.155382</v>
      </c>
      <c r="F55" s="5">
        <f t="shared" si="7"/>
        <v>1219.155382</v>
      </c>
      <c r="G55" s="5">
        <f t="shared" si="8"/>
        <v>3657.466145</v>
      </c>
      <c r="H55" s="5">
        <f t="shared" si="9"/>
        <v>0.000000004619599758</v>
      </c>
      <c r="I55" s="5">
        <f t="shared" si="10"/>
        <v>11526.49564</v>
      </c>
      <c r="J55" s="5">
        <f t="shared" si="11"/>
        <v>0</v>
      </c>
      <c r="K55" s="5">
        <f t="shared" si="12"/>
        <v>0</v>
      </c>
      <c r="L55" s="5">
        <f t="shared" si="13"/>
        <v>0</v>
      </c>
      <c r="M55" s="5">
        <f t="shared" si="14"/>
        <v>7869.029492</v>
      </c>
      <c r="N55" s="5">
        <f t="shared" si="15"/>
        <v>7869.029492</v>
      </c>
      <c r="O55" s="5">
        <f t="shared" si="16"/>
        <v>0</v>
      </c>
      <c r="P55" s="5">
        <f t="shared" si="20"/>
        <v>7869.029492</v>
      </c>
      <c r="Q55" s="5">
        <f t="shared" si="17"/>
        <v>1809.876783</v>
      </c>
      <c r="R55" s="5">
        <f t="shared" si="18"/>
        <v>6059.152709</v>
      </c>
      <c r="S55" s="5">
        <f>IFERROR(__xludf.DUMMYFUNCTION("IF(ISBETWEEN(A55,$B$22,$B$22+$B$19-1),$B$24,0)"),0.0)</f>
        <v>0</v>
      </c>
      <c r="T55" s="5">
        <f t="shared" si="19"/>
        <v>6059.152709</v>
      </c>
      <c r="U55" s="5">
        <f t="shared" si="21"/>
        <v>81614.14642</v>
      </c>
    </row>
    <row r="56">
      <c r="B56" s="3">
        <f>SUM(B31:B55)</f>
        <v>1531136.842</v>
      </c>
      <c r="D56" s="5">
        <f t="shared" ref="D56:I56" si="22">SUM(D31:D55)</f>
        <v>21866.2127</v>
      </c>
      <c r="E56" s="5">
        <f t="shared" si="22"/>
        <v>21866.2127</v>
      </c>
      <c r="F56" s="5">
        <f t="shared" si="22"/>
        <v>21866.2127</v>
      </c>
      <c r="G56" s="5">
        <f t="shared" si="22"/>
        <v>65598.6381</v>
      </c>
      <c r="H56" s="11">
        <f t="shared" si="22"/>
        <v>23366.63618</v>
      </c>
      <c r="I56" s="11">
        <f t="shared" si="22"/>
        <v>306227.3683</v>
      </c>
      <c r="K56" s="5">
        <f t="shared" ref="K56:M56" si="23">SUM(K31:K55)</f>
        <v>32713.29066</v>
      </c>
      <c r="L56" s="5">
        <f t="shared" si="23"/>
        <v>32713.29066</v>
      </c>
      <c r="M56" s="9">
        <f t="shared" si="23"/>
        <v>240628.7302</v>
      </c>
      <c r="Q56" s="5">
        <f t="shared" ref="Q56:T56" si="24">SUM(Q31:Q55)</f>
        <v>49970.28163</v>
      </c>
      <c r="R56" s="5">
        <f t="shared" si="24"/>
        <v>190658.4486</v>
      </c>
      <c r="S56" s="16">
        <f t="shared" si="24"/>
        <v>109044.3022</v>
      </c>
      <c r="T56" s="5">
        <f t="shared" si="24"/>
        <v>81614.14642</v>
      </c>
    </row>
    <row r="57">
      <c r="H57" s="6"/>
      <c r="I57" s="6"/>
    </row>
    <row r="58">
      <c r="H58" s="6"/>
      <c r="I58" s="6"/>
    </row>
    <row r="59">
      <c r="H59" s="6"/>
    </row>
    <row r="60">
      <c r="H60" s="6"/>
      <c r="I60" s="6"/>
    </row>
    <row r="61">
      <c r="H61" s="6"/>
      <c r="I61" s="6"/>
    </row>
    <row r="62">
      <c r="H62" s="6"/>
      <c r="I62" s="6"/>
    </row>
    <row r="63">
      <c r="H63" s="6"/>
      <c r="I63" s="6"/>
    </row>
    <row r="64">
      <c r="B64" s="17"/>
      <c r="D64" s="18"/>
      <c r="H64" s="6"/>
      <c r="I64" s="6"/>
    </row>
    <row r="65">
      <c r="H65" s="6"/>
      <c r="I65" s="6"/>
    </row>
    <row r="66">
      <c r="H66" s="6"/>
      <c r="I66" s="6"/>
    </row>
    <row r="67">
      <c r="H67" s="6"/>
      <c r="I67" s="6"/>
    </row>
    <row r="68">
      <c r="H68" s="6"/>
      <c r="I68" s="6"/>
    </row>
    <row r="69">
      <c r="H69" s="6"/>
      <c r="I69" s="6"/>
    </row>
    <row r="70">
      <c r="H70" s="6"/>
      <c r="I70" s="6"/>
    </row>
    <row r="71">
      <c r="H71" s="6"/>
      <c r="I71" s="6"/>
    </row>
    <row r="72">
      <c r="H72" s="6"/>
      <c r="I72" s="6"/>
    </row>
    <row r="73">
      <c r="H73" s="6"/>
      <c r="I73" s="6"/>
    </row>
    <row r="74">
      <c r="H74" s="6"/>
      <c r="I74" s="6"/>
    </row>
    <row r="75">
      <c r="H75" s="6"/>
      <c r="I75" s="6"/>
    </row>
    <row r="76">
      <c r="H76" s="6"/>
      <c r="I76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4" max="4" width="17.38"/>
  </cols>
  <sheetData>
    <row r="2">
      <c r="A2" s="1" t="s">
        <v>0</v>
      </c>
      <c r="B2" s="2">
        <v>0.17</v>
      </c>
      <c r="D2" s="1" t="s">
        <v>1</v>
      </c>
      <c r="E2" s="1">
        <v>0.33</v>
      </c>
    </row>
    <row r="3">
      <c r="A3" s="1" t="s">
        <v>2</v>
      </c>
      <c r="B3" s="1">
        <v>65000.0</v>
      </c>
      <c r="D3" s="1" t="s">
        <v>3</v>
      </c>
      <c r="E3" s="1">
        <v>0.33</v>
      </c>
    </row>
    <row r="4">
      <c r="A4" s="1" t="s">
        <v>4</v>
      </c>
      <c r="B4" s="1">
        <v>8766.0</v>
      </c>
      <c r="D4" s="1" t="s">
        <v>5</v>
      </c>
      <c r="E4" s="3">
        <f>1-E2-E3</f>
        <v>0.34</v>
      </c>
    </row>
    <row r="5">
      <c r="A5" s="1" t="s">
        <v>6</v>
      </c>
      <c r="B5" s="4">
        <f>$B$3/$B$4/$B$2</f>
        <v>43.61772087</v>
      </c>
    </row>
    <row r="6">
      <c r="A6" s="1" t="s">
        <v>7</v>
      </c>
      <c r="B6" s="1">
        <v>2.5</v>
      </c>
    </row>
    <row r="7">
      <c r="A7" s="1" t="s">
        <v>8</v>
      </c>
      <c r="B7" s="5">
        <f>B5*B6*1000</f>
        <v>109044.3022</v>
      </c>
    </row>
    <row r="8">
      <c r="A8" s="1" t="s">
        <v>9</v>
      </c>
      <c r="B8" s="6">
        <v>0.005</v>
      </c>
    </row>
    <row r="9">
      <c r="A9" s="1" t="s">
        <v>10</v>
      </c>
      <c r="B9" s="7">
        <v>0.03</v>
      </c>
    </row>
    <row r="10">
      <c r="A10" s="1" t="s">
        <v>11</v>
      </c>
      <c r="B10" s="6">
        <f t="shared" ref="B10:B12" si="1">$E$11</f>
        <v>0</v>
      </c>
      <c r="D10" s="1" t="s">
        <v>12</v>
      </c>
      <c r="E10" s="6">
        <v>0.0</v>
      </c>
    </row>
    <row r="11">
      <c r="A11" s="1" t="s">
        <v>13</v>
      </c>
      <c r="B11" s="6">
        <f t="shared" si="1"/>
        <v>0</v>
      </c>
      <c r="D11" s="1" t="s">
        <v>14</v>
      </c>
      <c r="E11" s="8">
        <f>E10/3</f>
        <v>0</v>
      </c>
    </row>
    <row r="12">
      <c r="A12" s="1" t="s">
        <v>15</v>
      </c>
      <c r="B12" s="6">
        <f t="shared" si="1"/>
        <v>0</v>
      </c>
    </row>
    <row r="13">
      <c r="A13" s="1" t="s">
        <v>16</v>
      </c>
      <c r="B13" s="7">
        <v>0.3</v>
      </c>
    </row>
    <row r="14">
      <c r="A14" s="1" t="s">
        <v>17</v>
      </c>
      <c r="B14" s="7">
        <v>0.5</v>
      </c>
    </row>
    <row r="15">
      <c r="A15" s="1" t="s">
        <v>18</v>
      </c>
      <c r="B15" s="7">
        <v>0.0</v>
      </c>
      <c r="L15" s="1" t="s">
        <v>19</v>
      </c>
      <c r="M15" s="9">
        <f>'Bill Comparison'!F28</f>
        <v>322479.9538</v>
      </c>
    </row>
    <row r="16">
      <c r="A16" s="1" t="s">
        <v>20</v>
      </c>
      <c r="B16" s="5">
        <f>B7*B15</f>
        <v>0</v>
      </c>
      <c r="L16" s="1" t="s">
        <v>21</v>
      </c>
      <c r="M16" s="9">
        <f>'Bill Comparison'!J28</f>
        <v>49771.69702</v>
      </c>
      <c r="N16" s="1" t="s">
        <v>22</v>
      </c>
      <c r="O16" s="1" t="s">
        <v>23</v>
      </c>
    </row>
    <row r="17">
      <c r="A17" s="1" t="s">
        <v>24</v>
      </c>
      <c r="B17" s="5">
        <f>B7-B16</f>
        <v>109044.3022</v>
      </c>
      <c r="L17" s="1" t="s">
        <v>25</v>
      </c>
      <c r="M17" s="9">
        <f>'Bill Comparison'!L28</f>
        <v>272708.2568</v>
      </c>
      <c r="N17" s="8"/>
      <c r="Q17" s="1"/>
      <c r="R17" s="1" t="s">
        <v>26</v>
      </c>
      <c r="S17" s="8">
        <f>1-(I56+M16)/M15</f>
        <v>0.06223852888</v>
      </c>
    </row>
    <row r="18">
      <c r="A18" s="1" t="s">
        <v>27</v>
      </c>
      <c r="B18" s="7">
        <v>0.04</v>
      </c>
      <c r="L18" s="1" t="s">
        <v>28</v>
      </c>
      <c r="M18" s="9">
        <f>M17-I56</f>
        <v>20070.67792</v>
      </c>
      <c r="N18" s="8">
        <f>M18/M19</f>
        <v>0.1809283476</v>
      </c>
    </row>
    <row r="19" ht="19.5" customHeight="1">
      <c r="A19" s="1" t="s">
        <v>29</v>
      </c>
      <c r="B19" s="1">
        <v>10.0</v>
      </c>
      <c r="L19" s="1" t="s">
        <v>30</v>
      </c>
      <c r="M19" s="9">
        <f>M18+T56+G56</f>
        <v>110931.6378</v>
      </c>
      <c r="N19" s="8"/>
      <c r="R19" s="1" t="s">
        <v>31</v>
      </c>
      <c r="S19" s="8">
        <f>1-(M16+I56-M21)/M15</f>
        <v>0.1757570284</v>
      </c>
    </row>
    <row r="20">
      <c r="A20" s="10"/>
      <c r="B20" s="1"/>
      <c r="C20" s="1"/>
      <c r="D20" s="1"/>
      <c r="E20" s="1"/>
      <c r="F20" s="1"/>
      <c r="G20" s="1"/>
      <c r="H20" s="1"/>
      <c r="I20" s="1"/>
      <c r="L20" s="1" t="s">
        <v>32</v>
      </c>
      <c r="M20" s="9">
        <f>M19*0.33-M18</f>
        <v>16536.76255</v>
      </c>
      <c r="N20" s="6"/>
    </row>
    <row r="21">
      <c r="A21" s="10"/>
      <c r="B21" s="1"/>
      <c r="C21" s="1"/>
      <c r="D21" s="1"/>
      <c r="E21" s="1"/>
      <c r="F21" s="1"/>
      <c r="G21" s="1"/>
      <c r="H21" s="1"/>
      <c r="I21" s="1"/>
      <c r="L21" s="1" t="s">
        <v>33</v>
      </c>
      <c r="M21" s="9">
        <f>M18+M20</f>
        <v>36607.44047</v>
      </c>
      <c r="N21" s="6">
        <f>M21/M19</f>
        <v>0.33</v>
      </c>
      <c r="O21" s="9">
        <f>M21/25</f>
        <v>1464.297619</v>
      </c>
    </row>
    <row r="22">
      <c r="A22" s="10" t="s">
        <v>34</v>
      </c>
      <c r="B22" s="1">
        <v>3.0</v>
      </c>
      <c r="C22" s="1"/>
      <c r="D22" s="1"/>
      <c r="E22" s="1"/>
      <c r="F22" s="1"/>
      <c r="G22" s="1"/>
      <c r="H22" s="1"/>
      <c r="I22" s="1"/>
      <c r="L22" s="1" t="s">
        <v>35</v>
      </c>
      <c r="M22" s="9">
        <f>M19*0.45-G56</f>
        <v>49919.23701</v>
      </c>
      <c r="N22" s="6"/>
    </row>
    <row r="23">
      <c r="A23" s="10"/>
      <c r="B23" s="11"/>
      <c r="C23" s="1"/>
      <c r="D23" s="1"/>
      <c r="E23" s="1"/>
      <c r="F23" s="1"/>
      <c r="G23" s="1"/>
      <c r="H23" s="1"/>
      <c r="I23" s="1"/>
      <c r="L23" s="1" t="s">
        <v>36</v>
      </c>
      <c r="M23" s="9">
        <f>M22+G56</f>
        <v>49919.23701</v>
      </c>
      <c r="N23" s="8">
        <f>M23/M19</f>
        <v>0.45</v>
      </c>
      <c r="O23" s="9">
        <f t="shared" ref="O23:O24" si="2">M23/25</f>
        <v>1996.76948</v>
      </c>
    </row>
    <row r="24">
      <c r="A24" s="10" t="s">
        <v>37</v>
      </c>
      <c r="B24" s="11">
        <f>B17/B19</f>
        <v>10904.43022</v>
      </c>
      <c r="C24" s="1"/>
      <c r="D24" s="1"/>
      <c r="E24" s="1"/>
      <c r="F24" s="1"/>
      <c r="G24" s="1"/>
      <c r="H24" s="1"/>
      <c r="I24" s="1"/>
      <c r="L24" s="1" t="s">
        <v>5</v>
      </c>
      <c r="M24" s="9">
        <f>M19-M21-M23</f>
        <v>24404.96031</v>
      </c>
      <c r="N24" s="8">
        <f>M24/M19</f>
        <v>0.22</v>
      </c>
      <c r="O24" s="9">
        <f t="shared" si="2"/>
        <v>976.1984126</v>
      </c>
    </row>
    <row r="25">
      <c r="A25" s="10" t="s">
        <v>38</v>
      </c>
      <c r="B25" s="7">
        <v>0.23</v>
      </c>
      <c r="C25" s="1"/>
      <c r="D25" s="1"/>
      <c r="E25" s="1"/>
      <c r="F25" s="1"/>
      <c r="G25" s="1"/>
      <c r="H25" s="1"/>
      <c r="I25" s="1"/>
      <c r="N25" s="8">
        <f>N21+N23+N24</f>
        <v>1</v>
      </c>
    </row>
    <row r="26">
      <c r="A26" s="10" t="s">
        <v>39</v>
      </c>
      <c r="B26" s="7">
        <v>0.3</v>
      </c>
      <c r="C26" s="1"/>
      <c r="D26" s="1"/>
      <c r="E26" s="1"/>
      <c r="F26" s="1"/>
      <c r="G26" s="1"/>
      <c r="H26" s="1"/>
      <c r="I26" s="1"/>
    </row>
    <row r="27">
      <c r="A27" s="10" t="s">
        <v>40</v>
      </c>
      <c r="B27" s="1">
        <f>B26*B17</f>
        <v>32713.29066</v>
      </c>
      <c r="C27" s="1"/>
      <c r="D27" s="1"/>
      <c r="E27" s="1"/>
      <c r="F27" s="1"/>
      <c r="G27" s="1"/>
      <c r="H27" s="1"/>
      <c r="I27" s="1"/>
      <c r="L27" s="1" t="s">
        <v>41</v>
      </c>
      <c r="M27" s="3">
        <f>M19/M17</f>
        <v>0.4067777012</v>
      </c>
    </row>
    <row r="28">
      <c r="A28" s="10" t="s">
        <v>42</v>
      </c>
      <c r="B28" s="1">
        <v>1.0</v>
      </c>
      <c r="C28" s="1"/>
      <c r="D28" s="1"/>
      <c r="E28" s="1"/>
      <c r="F28" s="1"/>
      <c r="G28" s="1"/>
      <c r="H28" s="1"/>
      <c r="I28" s="1"/>
    </row>
    <row r="29">
      <c r="A29" s="12"/>
      <c r="B29" s="1"/>
      <c r="C29" s="1"/>
      <c r="D29" s="1"/>
      <c r="E29" s="1"/>
      <c r="F29" s="1"/>
      <c r="G29" s="1"/>
      <c r="H29" s="1" t="s">
        <v>43</v>
      </c>
      <c r="I29" s="1">
        <v>0.165</v>
      </c>
    </row>
    <row r="30">
      <c r="A30" s="13" t="s">
        <v>44</v>
      </c>
      <c r="B30" s="14" t="s">
        <v>45</v>
      </c>
      <c r="C30" s="14" t="s">
        <v>46</v>
      </c>
      <c r="D30" s="14" t="s">
        <v>47</v>
      </c>
      <c r="E30" s="14" t="s">
        <v>48</v>
      </c>
      <c r="F30" s="14" t="s">
        <v>49</v>
      </c>
      <c r="G30" s="14" t="s">
        <v>50</v>
      </c>
      <c r="H30" s="14" t="s">
        <v>51</v>
      </c>
      <c r="I30" s="14" t="s">
        <v>52</v>
      </c>
      <c r="J30" s="14" t="s">
        <v>53</v>
      </c>
      <c r="K30" s="14" t="s">
        <v>54</v>
      </c>
      <c r="L30" s="14" t="s">
        <v>55</v>
      </c>
      <c r="M30" s="14" t="s">
        <v>56</v>
      </c>
      <c r="N30" s="14" t="s">
        <v>57</v>
      </c>
      <c r="O30" s="14" t="s">
        <v>58</v>
      </c>
      <c r="P30" s="14" t="s">
        <v>59</v>
      </c>
      <c r="Q30" s="14" t="s">
        <v>60</v>
      </c>
      <c r="R30" s="14" t="s">
        <v>61</v>
      </c>
      <c r="S30" s="14" t="s">
        <v>62</v>
      </c>
      <c r="T30" s="14" t="s">
        <v>63</v>
      </c>
    </row>
    <row r="31">
      <c r="A31" s="15">
        <v>0.0</v>
      </c>
      <c r="B31" s="3">
        <f t="shared" ref="B31:B55" si="3">POWER(1-$B$8,A31)*$B$3</f>
        <v>65000</v>
      </c>
      <c r="C31" s="3">
        <f t="shared" ref="C31:C55" si="4">POWER(1+$B$9,A31)</f>
        <v>1</v>
      </c>
      <c r="D31" s="5">
        <f t="shared" ref="D31:D55" si="5">$B$7*C31*$B$10</f>
        <v>0</v>
      </c>
      <c r="E31" s="5">
        <f t="shared" ref="E31:E55" si="6">$B$7*$C31*$B$11</f>
        <v>0</v>
      </c>
      <c r="F31" s="5">
        <f t="shared" ref="F31:F55" si="7">$B$7*$C31*$B$12</f>
        <v>0</v>
      </c>
      <c r="G31" s="5">
        <f t="shared" ref="G31:G55" si="8">SUM(D31:F31)</f>
        <v>0</v>
      </c>
      <c r="H31" s="5">
        <f t="shared" ref="H31:H55" si="9">IF(A31=0,$B$17*$B$14*$B$13,H30*$B$13)</f>
        <v>16356.64533</v>
      </c>
      <c r="I31" s="5">
        <f t="shared" ref="I31:I55" si="10">$I$29*B31</f>
        <v>10725</v>
      </c>
      <c r="J31" s="5">
        <f t="shared" ref="J31:J55" si="11">MAX(IF(A31&gt;=$B$22,J30-$B$24,$B$17),0)</f>
        <v>109044.3022</v>
      </c>
      <c r="K31" s="5">
        <f t="shared" ref="K31:K55" si="12">IF(A31&gt;=$B$20,J31*$B$18,0)</f>
        <v>4361.772087</v>
      </c>
      <c r="L31" s="5">
        <f t="shared" ref="L31:L55" si="13">IF(A31=$B$28,$B$27,0)</f>
        <v>0</v>
      </c>
      <c r="M31" s="5">
        <f t="shared" ref="M31:M55" si="14">I31-G31-K31+L31</f>
        <v>6363.227913</v>
      </c>
      <c r="N31" s="5">
        <f t="shared" ref="N31:N55" si="15">M31-H31</f>
        <v>-9993.417415</v>
      </c>
      <c r="O31" s="5">
        <f t="shared" ref="O31:O55" si="16">IF(N31&lt;0,N31,0)</f>
        <v>-9993.417415</v>
      </c>
      <c r="P31" s="5">
        <f>N31-O31</f>
        <v>0</v>
      </c>
      <c r="Q31" s="5">
        <f t="shared" ref="Q31:Q55" si="17">$B$25*P31</f>
        <v>0</v>
      </c>
      <c r="R31" s="5">
        <f t="shared" ref="R31:R55" si="18">M31-Q31</f>
        <v>6363.227913</v>
      </c>
      <c r="S31" s="5">
        <f>IFERROR(__xludf.DUMMYFUNCTION("IF(ISBETWEEN(A31,$B$22,$B$22+$B$19-1),$B$24,0)"),0.0)</f>
        <v>0</v>
      </c>
      <c r="T31" s="5">
        <f t="shared" ref="T31:T55" si="19">R31-S31</f>
        <v>6363.227913</v>
      </c>
      <c r="U31" s="5">
        <f>T31</f>
        <v>6363.227913</v>
      </c>
    </row>
    <row r="32">
      <c r="A32" s="15">
        <v>1.0</v>
      </c>
      <c r="B32" s="3">
        <f t="shared" si="3"/>
        <v>64675</v>
      </c>
      <c r="C32" s="3">
        <f t="shared" si="4"/>
        <v>1.03</v>
      </c>
      <c r="D32" s="5">
        <f t="shared" si="5"/>
        <v>0</v>
      </c>
      <c r="E32" s="5">
        <f t="shared" si="6"/>
        <v>0</v>
      </c>
      <c r="F32" s="5">
        <f t="shared" si="7"/>
        <v>0</v>
      </c>
      <c r="G32" s="5">
        <f t="shared" si="8"/>
        <v>0</v>
      </c>
      <c r="H32" s="5">
        <f t="shared" si="9"/>
        <v>4906.993598</v>
      </c>
      <c r="I32" s="5">
        <f t="shared" si="10"/>
        <v>10671.375</v>
      </c>
      <c r="J32" s="5">
        <f t="shared" si="11"/>
        <v>109044.3022</v>
      </c>
      <c r="K32" s="5">
        <f t="shared" si="12"/>
        <v>4361.772087</v>
      </c>
      <c r="L32" s="5">
        <f t="shared" si="13"/>
        <v>32713.29066</v>
      </c>
      <c r="M32" s="5">
        <f t="shared" si="14"/>
        <v>39022.89357</v>
      </c>
      <c r="N32" s="5">
        <f t="shared" si="15"/>
        <v>34115.89997</v>
      </c>
      <c r="O32" s="5">
        <f t="shared" si="16"/>
        <v>0</v>
      </c>
      <c r="P32" s="5">
        <f t="shared" ref="P32:P55" si="20">IF(N32&gt;0,N32+O31,0)</f>
        <v>24122.48255</v>
      </c>
      <c r="Q32" s="5">
        <f t="shared" si="17"/>
        <v>5548.170988</v>
      </c>
      <c r="R32" s="5">
        <f t="shared" si="18"/>
        <v>33474.72258</v>
      </c>
      <c r="S32" s="5">
        <f>IFERROR(__xludf.DUMMYFUNCTION("IF(ISBETWEEN(A32,$B$22,$B$22+$B$19-1),$B$24,0)"),0.0)</f>
        <v>0</v>
      </c>
      <c r="T32" s="5">
        <f t="shared" si="19"/>
        <v>33474.72258</v>
      </c>
      <c r="U32" s="5">
        <f t="shared" ref="U32:U55" si="21">T32+U31</f>
        <v>39837.95049</v>
      </c>
    </row>
    <row r="33">
      <c r="A33" s="15">
        <v>2.0</v>
      </c>
      <c r="B33" s="3">
        <f t="shared" si="3"/>
        <v>64351.625</v>
      </c>
      <c r="C33" s="3">
        <f t="shared" si="4"/>
        <v>1.0609</v>
      </c>
      <c r="D33" s="5">
        <f t="shared" si="5"/>
        <v>0</v>
      </c>
      <c r="E33" s="5">
        <f t="shared" si="6"/>
        <v>0</v>
      </c>
      <c r="F33" s="5">
        <f t="shared" si="7"/>
        <v>0</v>
      </c>
      <c r="G33" s="5">
        <f t="shared" si="8"/>
        <v>0</v>
      </c>
      <c r="H33" s="5">
        <f t="shared" si="9"/>
        <v>1472.098079</v>
      </c>
      <c r="I33" s="5">
        <f t="shared" si="10"/>
        <v>10618.01813</v>
      </c>
      <c r="J33" s="5">
        <f t="shared" si="11"/>
        <v>109044.3022</v>
      </c>
      <c r="K33" s="5">
        <f t="shared" si="12"/>
        <v>4361.772087</v>
      </c>
      <c r="L33" s="5">
        <f t="shared" si="13"/>
        <v>0</v>
      </c>
      <c r="M33" s="5">
        <f t="shared" si="14"/>
        <v>6256.246038</v>
      </c>
      <c r="N33" s="5">
        <f t="shared" si="15"/>
        <v>4784.147958</v>
      </c>
      <c r="O33" s="5">
        <f t="shared" si="16"/>
        <v>0</v>
      </c>
      <c r="P33" s="5">
        <f t="shared" si="20"/>
        <v>4784.147958</v>
      </c>
      <c r="Q33" s="5">
        <f t="shared" si="17"/>
        <v>1100.35403</v>
      </c>
      <c r="R33" s="5">
        <f t="shared" si="18"/>
        <v>5155.892007</v>
      </c>
      <c r="S33" s="5">
        <f>IFERROR(__xludf.DUMMYFUNCTION("IF(ISBETWEEN(A33,$B$22,$B$22+$B$19-1),$B$24,0)"),0.0)</f>
        <v>0</v>
      </c>
      <c r="T33" s="5">
        <f t="shared" si="19"/>
        <v>5155.892007</v>
      </c>
      <c r="U33" s="5">
        <f t="shared" si="21"/>
        <v>44993.8425</v>
      </c>
    </row>
    <row r="34">
      <c r="A34" s="15">
        <v>3.0</v>
      </c>
      <c r="B34" s="3">
        <f t="shared" si="3"/>
        <v>64029.86688</v>
      </c>
      <c r="C34" s="3">
        <f t="shared" si="4"/>
        <v>1.092727</v>
      </c>
      <c r="D34" s="5">
        <f t="shared" si="5"/>
        <v>0</v>
      </c>
      <c r="E34" s="5">
        <f t="shared" si="6"/>
        <v>0</v>
      </c>
      <c r="F34" s="5">
        <f t="shared" si="7"/>
        <v>0</v>
      </c>
      <c r="G34" s="5">
        <f t="shared" si="8"/>
        <v>0</v>
      </c>
      <c r="H34" s="5">
        <f t="shared" si="9"/>
        <v>441.6294238</v>
      </c>
      <c r="I34" s="5">
        <f t="shared" si="10"/>
        <v>10564.92803</v>
      </c>
      <c r="J34" s="5">
        <f t="shared" si="11"/>
        <v>98139.87197</v>
      </c>
      <c r="K34" s="5">
        <f t="shared" si="12"/>
        <v>3925.594879</v>
      </c>
      <c r="L34" s="5">
        <f t="shared" si="13"/>
        <v>0</v>
      </c>
      <c r="M34" s="5">
        <f t="shared" si="14"/>
        <v>6639.333156</v>
      </c>
      <c r="N34" s="5">
        <f t="shared" si="15"/>
        <v>6197.703732</v>
      </c>
      <c r="O34" s="5">
        <f t="shared" si="16"/>
        <v>0</v>
      </c>
      <c r="P34" s="5">
        <f t="shared" si="20"/>
        <v>6197.703732</v>
      </c>
      <c r="Q34" s="5">
        <f t="shared" si="17"/>
        <v>1425.471858</v>
      </c>
      <c r="R34" s="5">
        <f t="shared" si="18"/>
        <v>5213.861297</v>
      </c>
      <c r="S34" s="5">
        <f>IFERROR(__xludf.DUMMYFUNCTION("IF(ISBETWEEN(A34,$B$22,$B$22+$B$19-1),$B$24,0)"),10904.430218357022)</f>
        <v>10904.43022</v>
      </c>
      <c r="T34" s="5">
        <f t="shared" si="19"/>
        <v>-5690.568921</v>
      </c>
      <c r="U34" s="5">
        <f t="shared" si="21"/>
        <v>39303.27358</v>
      </c>
    </row>
    <row r="35">
      <c r="A35" s="15">
        <v>4.0</v>
      </c>
      <c r="B35" s="3">
        <f t="shared" si="3"/>
        <v>63709.71754</v>
      </c>
      <c r="C35" s="3">
        <f t="shared" si="4"/>
        <v>1.12550881</v>
      </c>
      <c r="D35" s="5">
        <f t="shared" si="5"/>
        <v>0</v>
      </c>
      <c r="E35" s="5">
        <f t="shared" si="6"/>
        <v>0</v>
      </c>
      <c r="F35" s="5">
        <f t="shared" si="7"/>
        <v>0</v>
      </c>
      <c r="G35" s="5">
        <f t="shared" si="8"/>
        <v>0</v>
      </c>
      <c r="H35" s="5">
        <f t="shared" si="9"/>
        <v>132.4888272</v>
      </c>
      <c r="I35" s="5">
        <f t="shared" si="10"/>
        <v>10512.10339</v>
      </c>
      <c r="J35" s="5">
        <f t="shared" si="11"/>
        <v>87235.44175</v>
      </c>
      <c r="K35" s="5">
        <f t="shared" si="12"/>
        <v>3489.41767</v>
      </c>
      <c r="L35" s="5">
        <f t="shared" si="13"/>
        <v>0</v>
      </c>
      <c r="M35" s="5">
        <f t="shared" si="14"/>
        <v>7022.685724</v>
      </c>
      <c r="N35" s="5">
        <f t="shared" si="15"/>
        <v>6890.196897</v>
      </c>
      <c r="O35" s="5">
        <f t="shared" si="16"/>
        <v>0</v>
      </c>
      <c r="P35" s="5">
        <f t="shared" si="20"/>
        <v>6890.196897</v>
      </c>
      <c r="Q35" s="5">
        <f t="shared" si="17"/>
        <v>1584.745286</v>
      </c>
      <c r="R35" s="5">
        <f t="shared" si="18"/>
        <v>5437.940438</v>
      </c>
      <c r="S35" s="5">
        <f>IFERROR(__xludf.DUMMYFUNCTION("IF(ISBETWEEN(A35,$B$22,$B$22+$B$19-1),$B$24,0)"),10904.430218357022)</f>
        <v>10904.43022</v>
      </c>
      <c r="T35" s="5">
        <f t="shared" si="19"/>
        <v>-5466.48978</v>
      </c>
      <c r="U35" s="5">
        <f t="shared" si="21"/>
        <v>33836.7838</v>
      </c>
    </row>
    <row r="36">
      <c r="A36" s="15">
        <v>5.0</v>
      </c>
      <c r="B36" s="3">
        <f t="shared" si="3"/>
        <v>63391.16895</v>
      </c>
      <c r="C36" s="3">
        <f t="shared" si="4"/>
        <v>1.159274074</v>
      </c>
      <c r="D36" s="5">
        <f t="shared" si="5"/>
        <v>0</v>
      </c>
      <c r="E36" s="5">
        <f t="shared" si="6"/>
        <v>0</v>
      </c>
      <c r="F36" s="5">
        <f t="shared" si="7"/>
        <v>0</v>
      </c>
      <c r="G36" s="5">
        <f t="shared" si="8"/>
        <v>0</v>
      </c>
      <c r="H36" s="5">
        <f t="shared" si="9"/>
        <v>39.74664815</v>
      </c>
      <c r="I36" s="5">
        <f t="shared" si="10"/>
        <v>10459.54288</v>
      </c>
      <c r="J36" s="5">
        <f t="shared" si="11"/>
        <v>76331.01153</v>
      </c>
      <c r="K36" s="5">
        <f t="shared" si="12"/>
        <v>3053.240461</v>
      </c>
      <c r="L36" s="5">
        <f t="shared" si="13"/>
        <v>0</v>
      </c>
      <c r="M36" s="5">
        <f t="shared" si="14"/>
        <v>7406.302416</v>
      </c>
      <c r="N36" s="5">
        <f t="shared" si="15"/>
        <v>7366.555768</v>
      </c>
      <c r="O36" s="5">
        <f t="shared" si="16"/>
        <v>0</v>
      </c>
      <c r="P36" s="5">
        <f t="shared" si="20"/>
        <v>7366.555768</v>
      </c>
      <c r="Q36" s="5">
        <f t="shared" si="17"/>
        <v>1694.307827</v>
      </c>
      <c r="R36" s="5">
        <f t="shared" si="18"/>
        <v>5711.994589</v>
      </c>
      <c r="S36" s="5">
        <f>IFERROR(__xludf.DUMMYFUNCTION("IF(ISBETWEEN(A36,$B$22,$B$22+$B$19-1),$B$24,0)"),10904.430218357022)</f>
        <v>10904.43022</v>
      </c>
      <c r="T36" s="5">
        <f t="shared" si="19"/>
        <v>-5192.435629</v>
      </c>
      <c r="U36" s="5">
        <f t="shared" si="21"/>
        <v>28644.34817</v>
      </c>
    </row>
    <row r="37">
      <c r="A37" s="15">
        <v>6.0</v>
      </c>
      <c r="B37" s="3">
        <f t="shared" si="3"/>
        <v>63074.21311</v>
      </c>
      <c r="C37" s="3">
        <f t="shared" si="4"/>
        <v>1.194052297</v>
      </c>
      <c r="D37" s="5">
        <f t="shared" si="5"/>
        <v>0</v>
      </c>
      <c r="E37" s="5">
        <f t="shared" si="6"/>
        <v>0</v>
      </c>
      <c r="F37" s="5">
        <f t="shared" si="7"/>
        <v>0</v>
      </c>
      <c r="G37" s="5">
        <f t="shared" si="8"/>
        <v>0</v>
      </c>
      <c r="H37" s="5">
        <f t="shared" si="9"/>
        <v>11.92399444</v>
      </c>
      <c r="I37" s="5">
        <f t="shared" si="10"/>
        <v>10407.24516</v>
      </c>
      <c r="J37" s="5">
        <f t="shared" si="11"/>
        <v>65426.58131</v>
      </c>
      <c r="K37" s="5">
        <f t="shared" si="12"/>
        <v>2617.063252</v>
      </c>
      <c r="L37" s="5">
        <f t="shared" si="13"/>
        <v>0</v>
      </c>
      <c r="M37" s="5">
        <f t="shared" si="14"/>
        <v>7790.18191</v>
      </c>
      <c r="N37" s="5">
        <f t="shared" si="15"/>
        <v>7778.257916</v>
      </c>
      <c r="O37" s="5">
        <f t="shared" si="16"/>
        <v>0</v>
      </c>
      <c r="P37" s="5">
        <f t="shared" si="20"/>
        <v>7778.257916</v>
      </c>
      <c r="Q37" s="5">
        <f t="shared" si="17"/>
        <v>1788.999321</v>
      </c>
      <c r="R37" s="5">
        <f t="shared" si="18"/>
        <v>6001.18259</v>
      </c>
      <c r="S37" s="5">
        <f>IFERROR(__xludf.DUMMYFUNCTION("IF(ISBETWEEN(A37,$B$22,$B$22+$B$19-1),$B$24,0)"),10904.430218357022)</f>
        <v>10904.43022</v>
      </c>
      <c r="T37" s="5">
        <f t="shared" si="19"/>
        <v>-4903.247629</v>
      </c>
      <c r="U37" s="5">
        <f t="shared" si="21"/>
        <v>23741.10054</v>
      </c>
    </row>
    <row r="38">
      <c r="A38" s="15">
        <v>7.0</v>
      </c>
      <c r="B38" s="3">
        <f t="shared" si="3"/>
        <v>62758.84204</v>
      </c>
      <c r="C38" s="3">
        <f t="shared" si="4"/>
        <v>1.229873865</v>
      </c>
      <c r="D38" s="5">
        <f t="shared" si="5"/>
        <v>0</v>
      </c>
      <c r="E38" s="5">
        <f t="shared" si="6"/>
        <v>0</v>
      </c>
      <c r="F38" s="5">
        <f t="shared" si="7"/>
        <v>0</v>
      </c>
      <c r="G38" s="5">
        <f t="shared" si="8"/>
        <v>0</v>
      </c>
      <c r="H38" s="5">
        <f t="shared" si="9"/>
        <v>3.577198333</v>
      </c>
      <c r="I38" s="5">
        <f t="shared" si="10"/>
        <v>10355.20894</v>
      </c>
      <c r="J38" s="5">
        <f t="shared" si="11"/>
        <v>54522.15109</v>
      </c>
      <c r="K38" s="5">
        <f t="shared" si="12"/>
        <v>2180.886044</v>
      </c>
      <c r="L38" s="5">
        <f t="shared" si="13"/>
        <v>0</v>
      </c>
      <c r="M38" s="5">
        <f t="shared" si="14"/>
        <v>8174.322893</v>
      </c>
      <c r="N38" s="5">
        <f t="shared" si="15"/>
        <v>8170.745695</v>
      </c>
      <c r="O38" s="5">
        <f t="shared" si="16"/>
        <v>0</v>
      </c>
      <c r="P38" s="5">
        <f t="shared" si="20"/>
        <v>8170.745695</v>
      </c>
      <c r="Q38" s="5">
        <f t="shared" si="17"/>
        <v>1879.27151</v>
      </c>
      <c r="R38" s="5">
        <f t="shared" si="18"/>
        <v>6295.051384</v>
      </c>
      <c r="S38" s="5">
        <f>IFERROR(__xludf.DUMMYFUNCTION("IF(ISBETWEEN(A38,$B$22,$B$22+$B$19-1),$B$24,0)"),10904.430218357022)</f>
        <v>10904.43022</v>
      </c>
      <c r="T38" s="5">
        <f t="shared" si="19"/>
        <v>-4609.378835</v>
      </c>
      <c r="U38" s="5">
        <f t="shared" si="21"/>
        <v>19131.72171</v>
      </c>
    </row>
    <row r="39">
      <c r="A39" s="15">
        <v>8.0</v>
      </c>
      <c r="B39" s="3">
        <f t="shared" si="3"/>
        <v>62445.04783</v>
      </c>
      <c r="C39" s="3">
        <f t="shared" si="4"/>
        <v>1.266770081</v>
      </c>
      <c r="D39" s="5">
        <f t="shared" si="5"/>
        <v>0</v>
      </c>
      <c r="E39" s="5">
        <f t="shared" si="6"/>
        <v>0</v>
      </c>
      <c r="F39" s="5">
        <f t="shared" si="7"/>
        <v>0</v>
      </c>
      <c r="G39" s="5">
        <f t="shared" si="8"/>
        <v>0</v>
      </c>
      <c r="H39" s="5">
        <f t="shared" si="9"/>
        <v>1.0731595</v>
      </c>
      <c r="I39" s="5">
        <f t="shared" si="10"/>
        <v>10303.43289</v>
      </c>
      <c r="J39" s="5">
        <f t="shared" si="11"/>
        <v>43617.72087</v>
      </c>
      <c r="K39" s="5">
        <f t="shared" si="12"/>
        <v>1744.708835</v>
      </c>
      <c r="L39" s="5">
        <f t="shared" si="13"/>
        <v>0</v>
      </c>
      <c r="M39" s="5">
        <f t="shared" si="14"/>
        <v>8558.724057</v>
      </c>
      <c r="N39" s="5">
        <f t="shared" si="15"/>
        <v>8557.650898</v>
      </c>
      <c r="O39" s="5">
        <f t="shared" si="16"/>
        <v>0</v>
      </c>
      <c r="P39" s="5">
        <f t="shared" si="20"/>
        <v>8557.650898</v>
      </c>
      <c r="Q39" s="5">
        <f t="shared" si="17"/>
        <v>1968.259707</v>
      </c>
      <c r="R39" s="5">
        <f t="shared" si="18"/>
        <v>6590.464351</v>
      </c>
      <c r="S39" s="5">
        <f>IFERROR(__xludf.DUMMYFUNCTION("IF(ISBETWEEN(A39,$B$22,$B$22+$B$19-1),$B$24,0)"),10904.430218357022)</f>
        <v>10904.43022</v>
      </c>
      <c r="T39" s="5">
        <f t="shared" si="19"/>
        <v>-4313.965867</v>
      </c>
      <c r="U39" s="5">
        <f t="shared" si="21"/>
        <v>14817.75584</v>
      </c>
    </row>
    <row r="40">
      <c r="A40" s="15">
        <v>9.0</v>
      </c>
      <c r="B40" s="3">
        <f t="shared" si="3"/>
        <v>62132.82259</v>
      </c>
      <c r="C40" s="3">
        <f t="shared" si="4"/>
        <v>1.304773184</v>
      </c>
      <c r="D40" s="5">
        <f t="shared" si="5"/>
        <v>0</v>
      </c>
      <c r="E40" s="5">
        <f t="shared" si="6"/>
        <v>0</v>
      </c>
      <c r="F40" s="5">
        <f t="shared" si="7"/>
        <v>0</v>
      </c>
      <c r="G40" s="5">
        <f t="shared" si="8"/>
        <v>0</v>
      </c>
      <c r="H40" s="5">
        <f t="shared" si="9"/>
        <v>0.32194785</v>
      </c>
      <c r="I40" s="5">
        <f t="shared" si="10"/>
        <v>10251.91573</v>
      </c>
      <c r="J40" s="5">
        <f t="shared" si="11"/>
        <v>32713.29066</v>
      </c>
      <c r="K40" s="5">
        <f t="shared" si="12"/>
        <v>1308.531626</v>
      </c>
      <c r="L40" s="5">
        <f t="shared" si="13"/>
        <v>0</v>
      </c>
      <c r="M40" s="5">
        <f t="shared" si="14"/>
        <v>8943.384102</v>
      </c>
      <c r="N40" s="5">
        <f t="shared" si="15"/>
        <v>8943.062154</v>
      </c>
      <c r="O40" s="5">
        <f t="shared" si="16"/>
        <v>0</v>
      </c>
      <c r="P40" s="5">
        <f t="shared" si="20"/>
        <v>8943.062154</v>
      </c>
      <c r="Q40" s="5">
        <f t="shared" si="17"/>
        <v>2056.904295</v>
      </c>
      <c r="R40" s="5">
        <f t="shared" si="18"/>
        <v>6886.479806</v>
      </c>
      <c r="S40" s="5">
        <f>IFERROR(__xludf.DUMMYFUNCTION("IF(ISBETWEEN(A40,$B$22,$B$22+$B$19-1),$B$24,0)"),10904.430218357022)</f>
        <v>10904.43022</v>
      </c>
      <c r="T40" s="5">
        <f t="shared" si="19"/>
        <v>-4017.950412</v>
      </c>
      <c r="U40" s="5">
        <f t="shared" si="21"/>
        <v>10799.80543</v>
      </c>
    </row>
    <row r="41">
      <c r="A41" s="15">
        <v>10.0</v>
      </c>
      <c r="B41" s="3">
        <f t="shared" si="3"/>
        <v>61822.15848</v>
      </c>
      <c r="C41" s="3">
        <f t="shared" si="4"/>
        <v>1.343916379</v>
      </c>
      <c r="D41" s="5">
        <f t="shared" si="5"/>
        <v>0</v>
      </c>
      <c r="E41" s="5">
        <f t="shared" si="6"/>
        <v>0</v>
      </c>
      <c r="F41" s="5">
        <f t="shared" si="7"/>
        <v>0</v>
      </c>
      <c r="G41" s="5">
        <f t="shared" si="8"/>
        <v>0</v>
      </c>
      <c r="H41" s="5">
        <f t="shared" si="9"/>
        <v>0.09658435499</v>
      </c>
      <c r="I41" s="5">
        <f t="shared" si="10"/>
        <v>10200.65615</v>
      </c>
      <c r="J41" s="5">
        <f t="shared" si="11"/>
        <v>21808.86044</v>
      </c>
      <c r="K41" s="5">
        <f t="shared" si="12"/>
        <v>872.3544175</v>
      </c>
      <c r="L41" s="5">
        <f t="shared" si="13"/>
        <v>0</v>
      </c>
      <c r="M41" s="5">
        <f t="shared" si="14"/>
        <v>9328.301732</v>
      </c>
      <c r="N41" s="5">
        <f t="shared" si="15"/>
        <v>9328.205147</v>
      </c>
      <c r="O41" s="5">
        <f t="shared" si="16"/>
        <v>0</v>
      </c>
      <c r="P41" s="5">
        <f t="shared" si="20"/>
        <v>9328.205147</v>
      </c>
      <c r="Q41" s="5">
        <f t="shared" si="17"/>
        <v>2145.487184</v>
      </c>
      <c r="R41" s="5">
        <f t="shared" si="18"/>
        <v>7182.814548</v>
      </c>
      <c r="S41" s="5">
        <f>IFERROR(__xludf.DUMMYFUNCTION("IF(ISBETWEEN(A41,$B$22,$B$22+$B$19-1),$B$24,0)"),10904.430218357022)</f>
        <v>10904.43022</v>
      </c>
      <c r="T41" s="5">
        <f t="shared" si="19"/>
        <v>-3721.61567</v>
      </c>
      <c r="U41" s="5">
        <f t="shared" si="21"/>
        <v>7078.189756</v>
      </c>
    </row>
    <row r="42">
      <c r="A42" s="15">
        <v>11.0</v>
      </c>
      <c r="B42" s="3">
        <f t="shared" si="3"/>
        <v>61513.04769</v>
      </c>
      <c r="C42" s="3">
        <f t="shared" si="4"/>
        <v>1.384233871</v>
      </c>
      <c r="D42" s="5">
        <f t="shared" si="5"/>
        <v>0</v>
      </c>
      <c r="E42" s="5">
        <f t="shared" si="6"/>
        <v>0</v>
      </c>
      <c r="F42" s="5">
        <f t="shared" si="7"/>
        <v>0</v>
      </c>
      <c r="G42" s="5">
        <f t="shared" si="8"/>
        <v>0</v>
      </c>
      <c r="H42" s="5">
        <f t="shared" si="9"/>
        <v>0.0289753065</v>
      </c>
      <c r="I42" s="5">
        <f t="shared" si="10"/>
        <v>10149.65287</v>
      </c>
      <c r="J42" s="5">
        <f t="shared" si="11"/>
        <v>10904.43022</v>
      </c>
      <c r="K42" s="5">
        <f t="shared" si="12"/>
        <v>436.1772087</v>
      </c>
      <c r="L42" s="5">
        <f t="shared" si="13"/>
        <v>0</v>
      </c>
      <c r="M42" s="5">
        <f t="shared" si="14"/>
        <v>9713.47566</v>
      </c>
      <c r="N42" s="5">
        <f t="shared" si="15"/>
        <v>9713.446684</v>
      </c>
      <c r="O42" s="5">
        <f t="shared" si="16"/>
        <v>0</v>
      </c>
      <c r="P42" s="5">
        <f t="shared" si="20"/>
        <v>9713.446684</v>
      </c>
      <c r="Q42" s="5">
        <f t="shared" si="17"/>
        <v>2234.092737</v>
      </c>
      <c r="R42" s="5">
        <f t="shared" si="18"/>
        <v>7479.382922</v>
      </c>
      <c r="S42" s="5">
        <f>IFERROR(__xludf.DUMMYFUNCTION("IF(ISBETWEEN(A42,$B$22,$B$22+$B$19-1),$B$24,0)"),10904.430218357022)</f>
        <v>10904.43022</v>
      </c>
      <c r="T42" s="5">
        <f t="shared" si="19"/>
        <v>-3425.047296</v>
      </c>
      <c r="U42" s="5">
        <f t="shared" si="21"/>
        <v>3653.14246</v>
      </c>
    </row>
    <row r="43">
      <c r="A43" s="15">
        <v>12.0</v>
      </c>
      <c r="B43" s="3">
        <f t="shared" si="3"/>
        <v>61205.48245</v>
      </c>
      <c r="C43" s="3">
        <f t="shared" si="4"/>
        <v>1.425760887</v>
      </c>
      <c r="D43" s="5">
        <f t="shared" si="5"/>
        <v>0</v>
      </c>
      <c r="E43" s="5">
        <f t="shared" si="6"/>
        <v>0</v>
      </c>
      <c r="F43" s="5">
        <f t="shared" si="7"/>
        <v>0</v>
      </c>
      <c r="G43" s="5">
        <f t="shared" si="8"/>
        <v>0</v>
      </c>
      <c r="H43" s="5">
        <f t="shared" si="9"/>
        <v>0.00869259195</v>
      </c>
      <c r="I43" s="5">
        <f t="shared" si="10"/>
        <v>10098.9046</v>
      </c>
      <c r="J43" s="5">
        <f t="shared" si="11"/>
        <v>0</v>
      </c>
      <c r="K43" s="5">
        <f t="shared" si="12"/>
        <v>0</v>
      </c>
      <c r="L43" s="5">
        <f t="shared" si="13"/>
        <v>0</v>
      </c>
      <c r="M43" s="5">
        <f t="shared" si="14"/>
        <v>10098.9046</v>
      </c>
      <c r="N43" s="5">
        <f t="shared" si="15"/>
        <v>10098.89591</v>
      </c>
      <c r="O43" s="5">
        <f t="shared" si="16"/>
        <v>0</v>
      </c>
      <c r="P43" s="5">
        <f t="shared" si="20"/>
        <v>10098.89591</v>
      </c>
      <c r="Q43" s="5">
        <f t="shared" si="17"/>
        <v>2322.74606</v>
      </c>
      <c r="R43" s="5">
        <f t="shared" si="18"/>
        <v>7776.158544</v>
      </c>
      <c r="S43" s="5">
        <f>IFERROR(__xludf.DUMMYFUNCTION("IF(ISBETWEEN(A43,$B$22,$B$22+$B$19-1),$B$24,0)"),10904.430218357022)</f>
        <v>10904.43022</v>
      </c>
      <c r="T43" s="5">
        <f t="shared" si="19"/>
        <v>-3128.271674</v>
      </c>
      <c r="U43" s="5">
        <f t="shared" si="21"/>
        <v>524.8707866</v>
      </c>
    </row>
    <row r="44">
      <c r="A44" s="15">
        <v>13.0</v>
      </c>
      <c r="B44" s="3">
        <f t="shared" si="3"/>
        <v>60899.45504</v>
      </c>
      <c r="C44" s="3">
        <f t="shared" si="4"/>
        <v>1.468533713</v>
      </c>
      <c r="D44" s="5">
        <f t="shared" si="5"/>
        <v>0</v>
      </c>
      <c r="E44" s="5">
        <f t="shared" si="6"/>
        <v>0</v>
      </c>
      <c r="F44" s="5">
        <f t="shared" si="7"/>
        <v>0</v>
      </c>
      <c r="G44" s="5">
        <f t="shared" si="8"/>
        <v>0</v>
      </c>
      <c r="H44" s="5">
        <f t="shared" si="9"/>
        <v>0.002607777585</v>
      </c>
      <c r="I44" s="5">
        <f t="shared" si="10"/>
        <v>10048.41008</v>
      </c>
      <c r="J44" s="5">
        <f t="shared" si="11"/>
        <v>0</v>
      </c>
      <c r="K44" s="5">
        <f t="shared" si="12"/>
        <v>0</v>
      </c>
      <c r="L44" s="5">
        <f t="shared" si="13"/>
        <v>0</v>
      </c>
      <c r="M44" s="5">
        <f t="shared" si="14"/>
        <v>10048.41008</v>
      </c>
      <c r="N44" s="5">
        <f t="shared" si="15"/>
        <v>10048.40747</v>
      </c>
      <c r="O44" s="5">
        <f t="shared" si="16"/>
        <v>0</v>
      </c>
      <c r="P44" s="5">
        <f t="shared" si="20"/>
        <v>10048.40747</v>
      </c>
      <c r="Q44" s="5">
        <f t="shared" si="17"/>
        <v>2311.133719</v>
      </c>
      <c r="R44" s="5">
        <f t="shared" si="18"/>
        <v>7737.276362</v>
      </c>
      <c r="S44" s="5">
        <f>IFERROR(__xludf.DUMMYFUNCTION("IF(ISBETWEEN(A44,$B$22,$B$22+$B$19-1),$B$24,0)"),0.0)</f>
        <v>0</v>
      </c>
      <c r="T44" s="5">
        <f t="shared" si="19"/>
        <v>7737.276362</v>
      </c>
      <c r="U44" s="5">
        <f t="shared" si="21"/>
        <v>8262.147149</v>
      </c>
    </row>
    <row r="45">
      <c r="A45" s="15">
        <v>14.0</v>
      </c>
      <c r="B45" s="3">
        <f t="shared" si="3"/>
        <v>60594.95776</v>
      </c>
      <c r="C45" s="3">
        <f t="shared" si="4"/>
        <v>1.512589725</v>
      </c>
      <c r="D45" s="5">
        <f t="shared" si="5"/>
        <v>0</v>
      </c>
      <c r="E45" s="5">
        <f t="shared" si="6"/>
        <v>0</v>
      </c>
      <c r="F45" s="5">
        <f t="shared" si="7"/>
        <v>0</v>
      </c>
      <c r="G45" s="5">
        <f t="shared" si="8"/>
        <v>0</v>
      </c>
      <c r="H45" s="5">
        <f t="shared" si="9"/>
        <v>0.0007823332755</v>
      </c>
      <c r="I45" s="5">
        <f t="shared" si="10"/>
        <v>9998.168031</v>
      </c>
      <c r="J45" s="5">
        <f t="shared" si="11"/>
        <v>0</v>
      </c>
      <c r="K45" s="5">
        <f t="shared" si="12"/>
        <v>0</v>
      </c>
      <c r="L45" s="5">
        <f t="shared" si="13"/>
        <v>0</v>
      </c>
      <c r="M45" s="5">
        <f t="shared" si="14"/>
        <v>9998.168031</v>
      </c>
      <c r="N45" s="5">
        <f t="shared" si="15"/>
        <v>9998.167248</v>
      </c>
      <c r="O45" s="5">
        <f t="shared" si="16"/>
        <v>0</v>
      </c>
      <c r="P45" s="5">
        <f t="shared" si="20"/>
        <v>9998.167248</v>
      </c>
      <c r="Q45" s="5">
        <f t="shared" si="17"/>
        <v>2299.578467</v>
      </c>
      <c r="R45" s="5">
        <f t="shared" si="18"/>
        <v>7698.589564</v>
      </c>
      <c r="S45" s="5">
        <f>IFERROR(__xludf.DUMMYFUNCTION("IF(ISBETWEEN(A45,$B$22,$B$22+$B$19-1),$B$24,0)"),0.0)</f>
        <v>0</v>
      </c>
      <c r="T45" s="5">
        <f t="shared" si="19"/>
        <v>7698.589564</v>
      </c>
      <c r="U45" s="5">
        <f t="shared" si="21"/>
        <v>15960.73671</v>
      </c>
    </row>
    <row r="46">
      <c r="A46" s="15">
        <v>15.0</v>
      </c>
      <c r="B46" s="3">
        <f t="shared" si="3"/>
        <v>60291.98297</v>
      </c>
      <c r="C46" s="3">
        <f t="shared" si="4"/>
        <v>1.557967417</v>
      </c>
      <c r="D46" s="5">
        <f t="shared" si="5"/>
        <v>0</v>
      </c>
      <c r="E46" s="5">
        <f t="shared" si="6"/>
        <v>0</v>
      </c>
      <c r="F46" s="5">
        <f t="shared" si="7"/>
        <v>0</v>
      </c>
      <c r="G46" s="5">
        <f t="shared" si="8"/>
        <v>0</v>
      </c>
      <c r="H46" s="5">
        <f t="shared" si="9"/>
        <v>0.0002346999826</v>
      </c>
      <c r="I46" s="5">
        <f t="shared" si="10"/>
        <v>9948.177191</v>
      </c>
      <c r="J46" s="5">
        <f t="shared" si="11"/>
        <v>0</v>
      </c>
      <c r="K46" s="5">
        <f t="shared" si="12"/>
        <v>0</v>
      </c>
      <c r="L46" s="5">
        <f t="shared" si="13"/>
        <v>0</v>
      </c>
      <c r="M46" s="5">
        <f t="shared" si="14"/>
        <v>9948.177191</v>
      </c>
      <c r="N46" s="5">
        <f t="shared" si="15"/>
        <v>9948.176956</v>
      </c>
      <c r="O46" s="5">
        <f t="shared" si="16"/>
        <v>0</v>
      </c>
      <c r="P46" s="5">
        <f t="shared" si="20"/>
        <v>9948.176956</v>
      </c>
      <c r="Q46" s="5">
        <f t="shared" si="17"/>
        <v>2288.0807</v>
      </c>
      <c r="R46" s="5">
        <f t="shared" si="18"/>
        <v>7660.096491</v>
      </c>
      <c r="S46" s="5">
        <f>IFERROR(__xludf.DUMMYFUNCTION("IF(ISBETWEEN(A46,$B$22,$B$22+$B$19-1),$B$24,0)"),0.0)</f>
        <v>0</v>
      </c>
      <c r="T46" s="5">
        <f t="shared" si="19"/>
        <v>7660.096491</v>
      </c>
      <c r="U46" s="5">
        <f t="shared" si="21"/>
        <v>23620.8332</v>
      </c>
    </row>
    <row r="47">
      <c r="A47" s="15">
        <v>16.0</v>
      </c>
      <c r="B47" s="3">
        <f t="shared" si="3"/>
        <v>59990.52306</v>
      </c>
      <c r="C47" s="3">
        <f t="shared" si="4"/>
        <v>1.604706439</v>
      </c>
      <c r="D47" s="5">
        <f t="shared" si="5"/>
        <v>0</v>
      </c>
      <c r="E47" s="5">
        <f t="shared" si="6"/>
        <v>0</v>
      </c>
      <c r="F47" s="5">
        <f t="shared" si="7"/>
        <v>0</v>
      </c>
      <c r="G47" s="5">
        <f t="shared" si="8"/>
        <v>0</v>
      </c>
      <c r="H47" s="5">
        <f t="shared" si="9"/>
        <v>0.00007040999479</v>
      </c>
      <c r="I47" s="5">
        <f t="shared" si="10"/>
        <v>9898.436305</v>
      </c>
      <c r="J47" s="5">
        <f t="shared" si="11"/>
        <v>0</v>
      </c>
      <c r="K47" s="5">
        <f t="shared" si="12"/>
        <v>0</v>
      </c>
      <c r="L47" s="5">
        <f t="shared" si="13"/>
        <v>0</v>
      </c>
      <c r="M47" s="5">
        <f t="shared" si="14"/>
        <v>9898.436305</v>
      </c>
      <c r="N47" s="5">
        <f t="shared" si="15"/>
        <v>9898.436234</v>
      </c>
      <c r="O47" s="5">
        <f t="shared" si="16"/>
        <v>0</v>
      </c>
      <c r="P47" s="5">
        <f t="shared" si="20"/>
        <v>9898.436234</v>
      </c>
      <c r="Q47" s="5">
        <f t="shared" si="17"/>
        <v>2276.640334</v>
      </c>
      <c r="R47" s="5">
        <f t="shared" si="18"/>
        <v>7621.795971</v>
      </c>
      <c r="S47" s="5">
        <f>IFERROR(__xludf.DUMMYFUNCTION("IF(ISBETWEEN(A47,$B$22,$B$22+$B$19-1),$B$24,0)"),0.0)</f>
        <v>0</v>
      </c>
      <c r="T47" s="5">
        <f t="shared" si="19"/>
        <v>7621.795971</v>
      </c>
      <c r="U47" s="5">
        <f t="shared" si="21"/>
        <v>31242.62917</v>
      </c>
    </row>
    <row r="48">
      <c r="A48" s="15">
        <v>17.0</v>
      </c>
      <c r="B48" s="3">
        <f t="shared" si="3"/>
        <v>59690.57044</v>
      </c>
      <c r="C48" s="3">
        <f t="shared" si="4"/>
        <v>1.652847632</v>
      </c>
      <c r="D48" s="5">
        <f t="shared" si="5"/>
        <v>0</v>
      </c>
      <c r="E48" s="5">
        <f t="shared" si="6"/>
        <v>0</v>
      </c>
      <c r="F48" s="5">
        <f t="shared" si="7"/>
        <v>0</v>
      </c>
      <c r="G48" s="5">
        <f t="shared" si="8"/>
        <v>0</v>
      </c>
      <c r="H48" s="5">
        <f t="shared" si="9"/>
        <v>0.00002112299844</v>
      </c>
      <c r="I48" s="5">
        <f t="shared" si="10"/>
        <v>9848.944123</v>
      </c>
      <c r="J48" s="5">
        <f t="shared" si="11"/>
        <v>0</v>
      </c>
      <c r="K48" s="5">
        <f t="shared" si="12"/>
        <v>0</v>
      </c>
      <c r="L48" s="5">
        <f t="shared" si="13"/>
        <v>0</v>
      </c>
      <c r="M48" s="5">
        <f t="shared" si="14"/>
        <v>9848.944123</v>
      </c>
      <c r="N48" s="5">
        <f t="shared" si="15"/>
        <v>9848.944102</v>
      </c>
      <c r="O48" s="5">
        <f t="shared" si="16"/>
        <v>0</v>
      </c>
      <c r="P48" s="5">
        <f t="shared" si="20"/>
        <v>9848.944102</v>
      </c>
      <c r="Q48" s="5">
        <f t="shared" si="17"/>
        <v>2265.257143</v>
      </c>
      <c r="R48" s="5">
        <f t="shared" si="18"/>
        <v>7583.68698</v>
      </c>
      <c r="S48" s="5">
        <f>IFERROR(__xludf.DUMMYFUNCTION("IF(ISBETWEEN(A48,$B$22,$B$22+$B$19-1),$B$24,0)"),0.0)</f>
        <v>0</v>
      </c>
      <c r="T48" s="5">
        <f t="shared" si="19"/>
        <v>7583.68698</v>
      </c>
      <c r="U48" s="5">
        <f t="shared" si="21"/>
        <v>38826.31615</v>
      </c>
    </row>
    <row r="49">
      <c r="A49" s="15">
        <v>18.0</v>
      </c>
      <c r="B49" s="3">
        <f t="shared" si="3"/>
        <v>59392.11759</v>
      </c>
      <c r="C49" s="3">
        <f t="shared" si="4"/>
        <v>1.702433061</v>
      </c>
      <c r="D49" s="5">
        <f t="shared" si="5"/>
        <v>0</v>
      </c>
      <c r="E49" s="5">
        <f t="shared" si="6"/>
        <v>0</v>
      </c>
      <c r="F49" s="5">
        <f t="shared" si="7"/>
        <v>0</v>
      </c>
      <c r="G49" s="5">
        <f t="shared" si="8"/>
        <v>0</v>
      </c>
      <c r="H49" s="5">
        <f t="shared" si="9"/>
        <v>0.000006336899531</v>
      </c>
      <c r="I49" s="5">
        <f t="shared" si="10"/>
        <v>9799.699402</v>
      </c>
      <c r="J49" s="5">
        <f t="shared" si="11"/>
        <v>0</v>
      </c>
      <c r="K49" s="5">
        <f t="shared" si="12"/>
        <v>0</v>
      </c>
      <c r="L49" s="5">
        <f t="shared" si="13"/>
        <v>0</v>
      </c>
      <c r="M49" s="5">
        <f t="shared" si="14"/>
        <v>9799.699402</v>
      </c>
      <c r="N49" s="5">
        <f t="shared" si="15"/>
        <v>9799.699396</v>
      </c>
      <c r="O49" s="5">
        <f t="shared" si="16"/>
        <v>0</v>
      </c>
      <c r="P49" s="5">
        <f t="shared" si="20"/>
        <v>9799.699396</v>
      </c>
      <c r="Q49" s="5">
        <f t="shared" si="17"/>
        <v>2253.930861</v>
      </c>
      <c r="R49" s="5">
        <f t="shared" si="18"/>
        <v>7545.768541</v>
      </c>
      <c r="S49" s="5">
        <f>IFERROR(__xludf.DUMMYFUNCTION("IF(ISBETWEEN(A49,$B$22,$B$22+$B$19-1),$B$24,0)"),0.0)</f>
        <v>0</v>
      </c>
      <c r="T49" s="5">
        <f t="shared" si="19"/>
        <v>7545.768541</v>
      </c>
      <c r="U49" s="5">
        <f t="shared" si="21"/>
        <v>46372.08469</v>
      </c>
    </row>
    <row r="50">
      <c r="A50" s="15">
        <v>19.0</v>
      </c>
      <c r="B50" s="3">
        <f t="shared" si="3"/>
        <v>59095.157</v>
      </c>
      <c r="C50" s="3">
        <f t="shared" si="4"/>
        <v>1.753506053</v>
      </c>
      <c r="D50" s="5">
        <f t="shared" si="5"/>
        <v>0</v>
      </c>
      <c r="E50" s="5">
        <f t="shared" si="6"/>
        <v>0</v>
      </c>
      <c r="F50" s="5">
        <f t="shared" si="7"/>
        <v>0</v>
      </c>
      <c r="G50" s="5">
        <f t="shared" si="8"/>
        <v>0</v>
      </c>
      <c r="H50" s="5">
        <f t="shared" si="9"/>
        <v>0.000001901069859</v>
      </c>
      <c r="I50" s="5">
        <f t="shared" si="10"/>
        <v>9750.700905</v>
      </c>
      <c r="J50" s="5">
        <f t="shared" si="11"/>
        <v>0</v>
      </c>
      <c r="K50" s="5">
        <f t="shared" si="12"/>
        <v>0</v>
      </c>
      <c r="L50" s="5">
        <f t="shared" si="13"/>
        <v>0</v>
      </c>
      <c r="M50" s="5">
        <f t="shared" si="14"/>
        <v>9750.700905</v>
      </c>
      <c r="N50" s="5">
        <f t="shared" si="15"/>
        <v>9750.700904</v>
      </c>
      <c r="O50" s="5">
        <f t="shared" si="16"/>
        <v>0</v>
      </c>
      <c r="P50" s="5">
        <f t="shared" si="20"/>
        <v>9750.700904</v>
      </c>
      <c r="Q50" s="5">
        <f t="shared" si="17"/>
        <v>2242.661208</v>
      </c>
      <c r="R50" s="5">
        <f t="shared" si="18"/>
        <v>7508.039698</v>
      </c>
      <c r="S50" s="5">
        <f>IFERROR(__xludf.DUMMYFUNCTION("IF(ISBETWEEN(A50,$B$22,$B$22+$B$19-1),$B$24,0)"),0.0)</f>
        <v>0</v>
      </c>
      <c r="T50" s="5">
        <f t="shared" si="19"/>
        <v>7508.039698</v>
      </c>
      <c r="U50" s="5">
        <f t="shared" si="21"/>
        <v>53880.12439</v>
      </c>
    </row>
    <row r="51">
      <c r="A51" s="15">
        <v>20.0</v>
      </c>
      <c r="B51" s="3">
        <f t="shared" si="3"/>
        <v>58799.68122</v>
      </c>
      <c r="C51" s="3">
        <f t="shared" si="4"/>
        <v>1.806111235</v>
      </c>
      <c r="D51" s="5">
        <f t="shared" si="5"/>
        <v>0</v>
      </c>
      <c r="E51" s="5">
        <f t="shared" si="6"/>
        <v>0</v>
      </c>
      <c r="F51" s="5">
        <f t="shared" si="7"/>
        <v>0</v>
      </c>
      <c r="G51" s="5">
        <f t="shared" si="8"/>
        <v>0</v>
      </c>
      <c r="H51" s="5">
        <f t="shared" si="9"/>
        <v>0.0000005703209578</v>
      </c>
      <c r="I51" s="5">
        <f t="shared" si="10"/>
        <v>9701.947401</v>
      </c>
      <c r="J51" s="5">
        <f t="shared" si="11"/>
        <v>0</v>
      </c>
      <c r="K51" s="5">
        <f t="shared" si="12"/>
        <v>0</v>
      </c>
      <c r="L51" s="5">
        <f t="shared" si="13"/>
        <v>0</v>
      </c>
      <c r="M51" s="5">
        <f t="shared" si="14"/>
        <v>9701.947401</v>
      </c>
      <c r="N51" s="5">
        <f t="shared" si="15"/>
        <v>9701.9474</v>
      </c>
      <c r="O51" s="5">
        <f t="shared" si="16"/>
        <v>0</v>
      </c>
      <c r="P51" s="5">
        <f t="shared" si="20"/>
        <v>9701.9474</v>
      </c>
      <c r="Q51" s="5">
        <f t="shared" si="17"/>
        <v>2231.447902</v>
      </c>
      <c r="R51" s="5">
        <f t="shared" si="18"/>
        <v>7470.499499</v>
      </c>
      <c r="S51" s="5">
        <f>IFERROR(__xludf.DUMMYFUNCTION("IF(ISBETWEEN(A51,$B$22,$B$22+$B$19-1),$B$24,0)"),0.0)</f>
        <v>0</v>
      </c>
      <c r="T51" s="5">
        <f t="shared" si="19"/>
        <v>7470.499499</v>
      </c>
      <c r="U51" s="5">
        <f t="shared" si="21"/>
        <v>61350.62389</v>
      </c>
    </row>
    <row r="52">
      <c r="A52" s="15">
        <v>21.0</v>
      </c>
      <c r="B52" s="3">
        <f t="shared" si="3"/>
        <v>58505.68281</v>
      </c>
      <c r="C52" s="3">
        <f t="shared" si="4"/>
        <v>1.860294572</v>
      </c>
      <c r="D52" s="5">
        <f t="shared" si="5"/>
        <v>0</v>
      </c>
      <c r="E52" s="5">
        <f t="shared" si="6"/>
        <v>0</v>
      </c>
      <c r="F52" s="5">
        <f t="shared" si="7"/>
        <v>0</v>
      </c>
      <c r="G52" s="5">
        <f t="shared" si="8"/>
        <v>0</v>
      </c>
      <c r="H52" s="5">
        <f t="shared" si="9"/>
        <v>0.0000001710962873</v>
      </c>
      <c r="I52" s="5">
        <f t="shared" si="10"/>
        <v>9653.437664</v>
      </c>
      <c r="J52" s="5">
        <f t="shared" si="11"/>
        <v>0</v>
      </c>
      <c r="K52" s="5">
        <f t="shared" si="12"/>
        <v>0</v>
      </c>
      <c r="L52" s="5">
        <f t="shared" si="13"/>
        <v>0</v>
      </c>
      <c r="M52" s="5">
        <f t="shared" si="14"/>
        <v>9653.437664</v>
      </c>
      <c r="N52" s="5">
        <f t="shared" si="15"/>
        <v>9653.437664</v>
      </c>
      <c r="O52" s="5">
        <f t="shared" si="16"/>
        <v>0</v>
      </c>
      <c r="P52" s="5">
        <f t="shared" si="20"/>
        <v>9653.437664</v>
      </c>
      <c r="Q52" s="5">
        <f t="shared" si="17"/>
        <v>2220.290663</v>
      </c>
      <c r="R52" s="5">
        <f t="shared" si="18"/>
        <v>7433.147001</v>
      </c>
      <c r="S52" s="5">
        <f>IFERROR(__xludf.DUMMYFUNCTION("IF(ISBETWEEN(A52,$B$22,$B$22+$B$19-1),$B$24,0)"),0.0)</f>
        <v>0</v>
      </c>
      <c r="T52" s="5">
        <f t="shared" si="19"/>
        <v>7433.147001</v>
      </c>
      <c r="U52" s="5">
        <f t="shared" si="21"/>
        <v>68783.77089</v>
      </c>
    </row>
    <row r="53">
      <c r="A53" s="15">
        <v>22.0</v>
      </c>
      <c r="B53" s="3">
        <f t="shared" si="3"/>
        <v>58213.1544</v>
      </c>
      <c r="C53" s="3">
        <f t="shared" si="4"/>
        <v>1.916103409</v>
      </c>
      <c r="D53" s="5">
        <f t="shared" si="5"/>
        <v>0</v>
      </c>
      <c r="E53" s="5">
        <f t="shared" si="6"/>
        <v>0</v>
      </c>
      <c r="F53" s="5">
        <f t="shared" si="7"/>
        <v>0</v>
      </c>
      <c r="G53" s="5">
        <f t="shared" si="8"/>
        <v>0</v>
      </c>
      <c r="H53" s="5">
        <f t="shared" si="9"/>
        <v>0.0000000513288862</v>
      </c>
      <c r="I53" s="5">
        <f t="shared" si="10"/>
        <v>9605.170476</v>
      </c>
      <c r="J53" s="5">
        <f t="shared" si="11"/>
        <v>0</v>
      </c>
      <c r="K53" s="5">
        <f t="shared" si="12"/>
        <v>0</v>
      </c>
      <c r="L53" s="5">
        <f t="shared" si="13"/>
        <v>0</v>
      </c>
      <c r="M53" s="5">
        <f t="shared" si="14"/>
        <v>9605.170476</v>
      </c>
      <c r="N53" s="5">
        <f t="shared" si="15"/>
        <v>9605.170476</v>
      </c>
      <c r="O53" s="5">
        <f t="shared" si="16"/>
        <v>0</v>
      </c>
      <c r="P53" s="5">
        <f t="shared" si="20"/>
        <v>9605.170476</v>
      </c>
      <c r="Q53" s="5">
        <f t="shared" si="17"/>
        <v>2209.189209</v>
      </c>
      <c r="R53" s="5">
        <f t="shared" si="18"/>
        <v>7395.981266</v>
      </c>
      <c r="S53" s="5">
        <f>IFERROR(__xludf.DUMMYFUNCTION("IF(ISBETWEEN(A53,$B$22,$B$22+$B$19-1),$B$24,0)"),0.0)</f>
        <v>0</v>
      </c>
      <c r="T53" s="5">
        <f t="shared" si="19"/>
        <v>7395.981266</v>
      </c>
      <c r="U53" s="5">
        <f t="shared" si="21"/>
        <v>76179.75216</v>
      </c>
    </row>
    <row r="54">
      <c r="A54" s="15">
        <v>23.0</v>
      </c>
      <c r="B54" s="3">
        <f t="shared" si="3"/>
        <v>57922.08863</v>
      </c>
      <c r="C54" s="3">
        <f t="shared" si="4"/>
        <v>1.973586511</v>
      </c>
      <c r="D54" s="5">
        <f t="shared" si="5"/>
        <v>0</v>
      </c>
      <c r="E54" s="5">
        <f t="shared" si="6"/>
        <v>0</v>
      </c>
      <c r="F54" s="5">
        <f t="shared" si="7"/>
        <v>0</v>
      </c>
      <c r="G54" s="5">
        <f t="shared" si="8"/>
        <v>0</v>
      </c>
      <c r="H54" s="5">
        <f t="shared" si="9"/>
        <v>0.00000001539866586</v>
      </c>
      <c r="I54" s="5">
        <f t="shared" si="10"/>
        <v>9557.144623</v>
      </c>
      <c r="J54" s="5">
        <f t="shared" si="11"/>
        <v>0</v>
      </c>
      <c r="K54" s="5">
        <f t="shared" si="12"/>
        <v>0</v>
      </c>
      <c r="L54" s="5">
        <f t="shared" si="13"/>
        <v>0</v>
      </c>
      <c r="M54" s="5">
        <f t="shared" si="14"/>
        <v>9557.144623</v>
      </c>
      <c r="N54" s="5">
        <f t="shared" si="15"/>
        <v>9557.144623</v>
      </c>
      <c r="O54" s="5">
        <f t="shared" si="16"/>
        <v>0</v>
      </c>
      <c r="P54" s="5">
        <f t="shared" si="20"/>
        <v>9557.144623</v>
      </c>
      <c r="Q54" s="5">
        <f t="shared" si="17"/>
        <v>2198.143263</v>
      </c>
      <c r="R54" s="5">
        <f t="shared" si="18"/>
        <v>7359.00136</v>
      </c>
      <c r="S54" s="5">
        <f>IFERROR(__xludf.DUMMYFUNCTION("IF(ISBETWEEN(A54,$B$22,$B$22+$B$19-1),$B$24,0)"),0.0)</f>
        <v>0</v>
      </c>
      <c r="T54" s="5">
        <f t="shared" si="19"/>
        <v>7359.00136</v>
      </c>
      <c r="U54" s="5">
        <f t="shared" si="21"/>
        <v>83538.75352</v>
      </c>
    </row>
    <row r="55">
      <c r="A55" s="15">
        <v>24.0</v>
      </c>
      <c r="B55" s="3">
        <f t="shared" si="3"/>
        <v>57632.47818</v>
      </c>
      <c r="C55" s="3">
        <f t="shared" si="4"/>
        <v>2.032794106</v>
      </c>
      <c r="D55" s="5">
        <f t="shared" si="5"/>
        <v>0</v>
      </c>
      <c r="E55" s="5">
        <f t="shared" si="6"/>
        <v>0</v>
      </c>
      <c r="F55" s="5">
        <f t="shared" si="7"/>
        <v>0</v>
      </c>
      <c r="G55" s="5">
        <f t="shared" si="8"/>
        <v>0</v>
      </c>
      <c r="H55" s="5">
        <f t="shared" si="9"/>
        <v>0.000000004619599758</v>
      </c>
      <c r="I55" s="5">
        <f t="shared" si="10"/>
        <v>9509.3589</v>
      </c>
      <c r="J55" s="5">
        <f t="shared" si="11"/>
        <v>0</v>
      </c>
      <c r="K55" s="5">
        <f t="shared" si="12"/>
        <v>0</v>
      </c>
      <c r="L55" s="5">
        <f t="shared" si="13"/>
        <v>0</v>
      </c>
      <c r="M55" s="5">
        <f t="shared" si="14"/>
        <v>9509.3589</v>
      </c>
      <c r="N55" s="5">
        <f t="shared" si="15"/>
        <v>9509.3589</v>
      </c>
      <c r="O55" s="5">
        <f t="shared" si="16"/>
        <v>0</v>
      </c>
      <c r="P55" s="5">
        <f t="shared" si="20"/>
        <v>9509.3589</v>
      </c>
      <c r="Q55" s="5">
        <f t="shared" si="17"/>
        <v>2187.152547</v>
      </c>
      <c r="R55" s="5">
        <f t="shared" si="18"/>
        <v>7322.206353</v>
      </c>
      <c r="S55" s="5">
        <f>IFERROR(__xludf.DUMMYFUNCTION("IF(ISBETWEEN(A55,$B$22,$B$22+$B$19-1),$B$24,0)"),0.0)</f>
        <v>0</v>
      </c>
      <c r="T55" s="5">
        <f t="shared" si="19"/>
        <v>7322.206353</v>
      </c>
      <c r="U55" s="5">
        <f t="shared" si="21"/>
        <v>90860.95987</v>
      </c>
    </row>
    <row r="56">
      <c r="B56" s="3">
        <f>SUM(B31:B55)</f>
        <v>1531136.842</v>
      </c>
      <c r="D56" s="5">
        <f t="shared" ref="D56:I56" si="22">SUM(D31:D55)</f>
        <v>0</v>
      </c>
      <c r="E56" s="5">
        <f t="shared" si="22"/>
        <v>0</v>
      </c>
      <c r="F56" s="5">
        <f t="shared" si="22"/>
        <v>0</v>
      </c>
      <c r="G56" s="5">
        <f t="shared" si="22"/>
        <v>0</v>
      </c>
      <c r="H56" s="11">
        <f t="shared" si="22"/>
        <v>23366.63618</v>
      </c>
      <c r="I56" s="11">
        <f t="shared" si="22"/>
        <v>252637.5789</v>
      </c>
      <c r="K56" s="5">
        <f t="shared" ref="K56:M56" si="23">SUM(K31:K55)</f>
        <v>32713.29066</v>
      </c>
      <c r="L56" s="5">
        <f t="shared" si="23"/>
        <v>32713.29066</v>
      </c>
      <c r="M56" s="9">
        <f t="shared" si="23"/>
        <v>252637.5789</v>
      </c>
      <c r="Q56" s="5">
        <f t="shared" ref="Q56:T56" si="24">SUM(Q31:Q55)</f>
        <v>52732.31682</v>
      </c>
      <c r="R56" s="5">
        <f t="shared" si="24"/>
        <v>199905.2621</v>
      </c>
      <c r="S56" s="16">
        <f t="shared" si="24"/>
        <v>109044.3022</v>
      </c>
      <c r="T56" s="5">
        <f t="shared" si="24"/>
        <v>90860.95987</v>
      </c>
    </row>
    <row r="57">
      <c r="H57" s="6"/>
      <c r="I57" s="6"/>
    </row>
    <row r="58">
      <c r="H58" s="6"/>
      <c r="I58" s="6"/>
    </row>
    <row r="59">
      <c r="H59" s="6"/>
    </row>
    <row r="60">
      <c r="H60" s="6"/>
      <c r="I60" s="6"/>
    </row>
    <row r="61">
      <c r="H61" s="6"/>
      <c r="I61" s="6"/>
    </row>
    <row r="62">
      <c r="H62" s="6"/>
      <c r="I62" s="6"/>
    </row>
    <row r="63">
      <c r="H63" s="6"/>
      <c r="I63" s="6"/>
    </row>
    <row r="64">
      <c r="B64" s="17"/>
      <c r="D64" s="18"/>
      <c r="H64" s="6"/>
      <c r="I64" s="6"/>
    </row>
    <row r="65">
      <c r="H65" s="6"/>
      <c r="I65" s="6"/>
    </row>
    <row r="66">
      <c r="H66" s="6"/>
      <c r="I66" s="6"/>
    </row>
    <row r="67">
      <c r="H67" s="6"/>
      <c r="I67" s="6"/>
    </row>
    <row r="68">
      <c r="H68" s="6"/>
      <c r="I68" s="6"/>
    </row>
    <row r="69">
      <c r="H69" s="6"/>
      <c r="I69" s="6"/>
    </row>
    <row r="70">
      <c r="H70" s="6"/>
      <c r="I70" s="6"/>
    </row>
    <row r="71">
      <c r="H71" s="6"/>
      <c r="I71" s="6"/>
    </row>
    <row r="72">
      <c r="H72" s="6"/>
      <c r="I72" s="6"/>
    </row>
    <row r="73">
      <c r="H73" s="6"/>
      <c r="I73" s="6"/>
    </row>
    <row r="74">
      <c r="H74" s="6"/>
      <c r="I74" s="6"/>
    </row>
    <row r="75">
      <c r="H75" s="6"/>
      <c r="I75" s="6"/>
    </row>
    <row r="76">
      <c r="H76" s="6"/>
      <c r="I76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4" max="4" width="17.38"/>
  </cols>
  <sheetData>
    <row r="2">
      <c r="A2" s="1" t="s">
        <v>0</v>
      </c>
      <c r="B2" s="2">
        <v>0.17</v>
      </c>
      <c r="D2" s="1" t="s">
        <v>1</v>
      </c>
      <c r="E2" s="1">
        <v>0.33</v>
      </c>
    </row>
    <row r="3">
      <c r="A3" s="1" t="s">
        <v>2</v>
      </c>
      <c r="B3" s="1">
        <v>65000.0</v>
      </c>
      <c r="D3" s="1" t="s">
        <v>3</v>
      </c>
      <c r="E3" s="1">
        <v>0.33</v>
      </c>
    </row>
    <row r="4">
      <c r="A4" s="1" t="s">
        <v>4</v>
      </c>
      <c r="B4" s="1">
        <v>8766.0</v>
      </c>
      <c r="D4" s="1" t="s">
        <v>5</v>
      </c>
      <c r="E4" s="3">
        <f>1-E2-E3</f>
        <v>0.34</v>
      </c>
    </row>
    <row r="5">
      <c r="A5" s="1" t="s">
        <v>6</v>
      </c>
      <c r="B5" s="4">
        <f>$B$3/$B$4/$B$2</f>
        <v>43.61772087</v>
      </c>
    </row>
    <row r="6">
      <c r="A6" s="1" t="s">
        <v>7</v>
      </c>
      <c r="B6" s="1">
        <v>2.5</v>
      </c>
    </row>
    <row r="7">
      <c r="A7" s="1" t="s">
        <v>8</v>
      </c>
      <c r="B7" s="5">
        <f>B5*B6*1000</f>
        <v>109044.3022</v>
      </c>
    </row>
    <row r="8">
      <c r="A8" s="1" t="s">
        <v>9</v>
      </c>
      <c r="B8" s="6">
        <v>0.005</v>
      </c>
    </row>
    <row r="9">
      <c r="A9" s="1" t="s">
        <v>10</v>
      </c>
      <c r="B9" s="7">
        <v>0.03</v>
      </c>
    </row>
    <row r="10">
      <c r="A10" s="1" t="s">
        <v>11</v>
      </c>
      <c r="B10" s="6">
        <f t="shared" ref="B10:B12" si="1">$E$11</f>
        <v>0</v>
      </c>
      <c r="D10" s="1" t="s">
        <v>12</v>
      </c>
      <c r="E10" s="6">
        <v>0.0</v>
      </c>
    </row>
    <row r="11">
      <c r="A11" s="1" t="s">
        <v>13</v>
      </c>
      <c r="B11" s="6">
        <f t="shared" si="1"/>
        <v>0</v>
      </c>
      <c r="D11" s="1" t="s">
        <v>14</v>
      </c>
      <c r="E11" s="8">
        <f>E10/3</f>
        <v>0</v>
      </c>
    </row>
    <row r="12">
      <c r="A12" s="1" t="s">
        <v>15</v>
      </c>
      <c r="B12" s="6">
        <f t="shared" si="1"/>
        <v>0</v>
      </c>
    </row>
    <row r="13">
      <c r="A13" s="1" t="s">
        <v>16</v>
      </c>
      <c r="B13" s="7">
        <v>0.3</v>
      </c>
    </row>
    <row r="14">
      <c r="A14" s="1" t="s">
        <v>17</v>
      </c>
      <c r="B14" s="7">
        <v>0.5</v>
      </c>
    </row>
    <row r="15">
      <c r="A15" s="1" t="s">
        <v>18</v>
      </c>
      <c r="B15" s="7">
        <v>0.5</v>
      </c>
      <c r="L15" s="1" t="s">
        <v>19</v>
      </c>
      <c r="M15" s="9">
        <f>'Bill Comparison'!F28</f>
        <v>322479.9538</v>
      </c>
    </row>
    <row r="16">
      <c r="A16" s="1" t="s">
        <v>20</v>
      </c>
      <c r="B16" s="5">
        <f>B7*B15</f>
        <v>54522.15109</v>
      </c>
      <c r="L16" s="1" t="s">
        <v>21</v>
      </c>
      <c r="M16" s="9">
        <f>'Bill Comparison'!J28</f>
        <v>49771.69702</v>
      </c>
      <c r="N16" s="1" t="s">
        <v>22</v>
      </c>
      <c r="O16" s="1" t="s">
        <v>23</v>
      </c>
    </row>
    <row r="17">
      <c r="A17" s="1" t="s">
        <v>24</v>
      </c>
      <c r="B17" s="5">
        <f>B7-B16</f>
        <v>54522.15109</v>
      </c>
      <c r="L17" s="1" t="s">
        <v>25</v>
      </c>
      <c r="M17" s="9">
        <f>'Bill Comparison'!L28</f>
        <v>272708.2568</v>
      </c>
      <c r="N17" s="8"/>
      <c r="Q17" s="1"/>
      <c r="R17" s="1" t="s">
        <v>26</v>
      </c>
      <c r="S17" s="8">
        <f>1-(I56+M16)/M15</f>
        <v>0.4420790302</v>
      </c>
    </row>
    <row r="18">
      <c r="A18" s="1" t="s">
        <v>27</v>
      </c>
      <c r="B18" s="7">
        <v>0.04</v>
      </c>
      <c r="L18" s="1" t="s">
        <v>28</v>
      </c>
      <c r="M18" s="9">
        <f>M17-I56</f>
        <v>142561.6253</v>
      </c>
      <c r="N18" s="8">
        <f>M18/M19</f>
        <v>0.746632272</v>
      </c>
    </row>
    <row r="19" ht="19.5" customHeight="1">
      <c r="A19" s="1" t="s">
        <v>29</v>
      </c>
      <c r="B19" s="1">
        <v>10.0</v>
      </c>
      <c r="L19" s="1" t="s">
        <v>30</v>
      </c>
      <c r="M19" s="9">
        <f>M18+T56+G56</f>
        <v>190939.5436</v>
      </c>
      <c r="N19" s="8"/>
      <c r="R19" s="1" t="s">
        <v>31</v>
      </c>
      <c r="S19" s="8">
        <f>1-(M16+I56-M21)/M15</f>
        <v>0.6374711737</v>
      </c>
    </row>
    <row r="20">
      <c r="A20" s="10"/>
      <c r="B20" s="1"/>
      <c r="C20" s="1"/>
      <c r="D20" s="1"/>
      <c r="E20" s="1"/>
      <c r="F20" s="1"/>
      <c r="G20" s="1"/>
      <c r="H20" s="1"/>
      <c r="I20" s="1"/>
      <c r="L20" s="1" t="s">
        <v>32</v>
      </c>
      <c r="M20" s="9">
        <f>M19*0.33-M18</f>
        <v>-79551.57586</v>
      </c>
      <c r="N20" s="6"/>
    </row>
    <row r="21">
      <c r="A21" s="10"/>
      <c r="B21" s="1"/>
      <c r="C21" s="1"/>
      <c r="D21" s="1"/>
      <c r="E21" s="1"/>
      <c r="F21" s="1"/>
      <c r="G21" s="1"/>
      <c r="H21" s="1"/>
      <c r="I21" s="1"/>
      <c r="L21" s="1" t="s">
        <v>33</v>
      </c>
      <c r="M21" s="9">
        <f>M18+M20</f>
        <v>63010.04939</v>
      </c>
      <c r="N21" s="6">
        <f>M21/M19</f>
        <v>0.33</v>
      </c>
      <c r="O21" s="9">
        <f>M21/25</f>
        <v>2520.401976</v>
      </c>
    </row>
    <row r="22">
      <c r="A22" s="10" t="s">
        <v>34</v>
      </c>
      <c r="B22" s="1">
        <v>3.0</v>
      </c>
      <c r="C22" s="1"/>
      <c r="D22" s="1"/>
      <c r="E22" s="1"/>
      <c r="F22" s="1"/>
      <c r="G22" s="1"/>
      <c r="H22" s="1"/>
      <c r="I22" s="1"/>
      <c r="L22" s="1" t="s">
        <v>35</v>
      </c>
      <c r="M22" s="9">
        <f>M19*0.45-G56</f>
        <v>85922.79462</v>
      </c>
      <c r="N22" s="6"/>
    </row>
    <row r="23">
      <c r="A23" s="10"/>
      <c r="B23" s="11"/>
      <c r="C23" s="1"/>
      <c r="D23" s="1"/>
      <c r="E23" s="1"/>
      <c r="F23" s="1"/>
      <c r="G23" s="1"/>
      <c r="H23" s="1"/>
      <c r="I23" s="1"/>
      <c r="L23" s="1" t="s">
        <v>36</v>
      </c>
      <c r="M23" s="9">
        <f>M22+G56</f>
        <v>85922.79462</v>
      </c>
      <c r="N23" s="8">
        <f>M23/M19</f>
        <v>0.45</v>
      </c>
      <c r="O23" s="9">
        <f t="shared" ref="O23:O24" si="2">M23/25</f>
        <v>3436.911785</v>
      </c>
    </row>
    <row r="24">
      <c r="A24" s="10" t="s">
        <v>37</v>
      </c>
      <c r="B24" s="11">
        <f>B17/B19</f>
        <v>5452.215109</v>
      </c>
      <c r="C24" s="1"/>
      <c r="D24" s="1"/>
      <c r="E24" s="1"/>
      <c r="F24" s="1"/>
      <c r="G24" s="1"/>
      <c r="H24" s="1"/>
      <c r="I24" s="1"/>
      <c r="L24" s="1" t="s">
        <v>5</v>
      </c>
      <c r="M24" s="9">
        <f>M19-M21-M23</f>
        <v>42006.69959</v>
      </c>
      <c r="N24" s="8">
        <f>M24/M19</f>
        <v>0.22</v>
      </c>
      <c r="O24" s="9">
        <f t="shared" si="2"/>
        <v>1680.267984</v>
      </c>
    </row>
    <row r="25">
      <c r="A25" s="10" t="s">
        <v>38</v>
      </c>
      <c r="B25" s="7">
        <v>0.23</v>
      </c>
      <c r="C25" s="1"/>
      <c r="D25" s="1"/>
      <c r="E25" s="1"/>
      <c r="F25" s="1"/>
      <c r="G25" s="1"/>
      <c r="H25" s="1"/>
      <c r="I25" s="1"/>
      <c r="N25" s="8">
        <f>N21+N23+N24</f>
        <v>1</v>
      </c>
    </row>
    <row r="26">
      <c r="A26" s="10" t="s">
        <v>39</v>
      </c>
      <c r="B26" s="7">
        <v>0.3</v>
      </c>
      <c r="C26" s="1"/>
      <c r="D26" s="1"/>
      <c r="E26" s="1"/>
      <c r="F26" s="1"/>
      <c r="G26" s="1"/>
      <c r="H26" s="1"/>
      <c r="I26" s="1"/>
    </row>
    <row r="27">
      <c r="A27" s="10" t="s">
        <v>40</v>
      </c>
      <c r="B27" s="1">
        <f>B26*B17</f>
        <v>16356.64533</v>
      </c>
      <c r="C27" s="1"/>
      <c r="D27" s="1"/>
      <c r="E27" s="1"/>
      <c r="F27" s="1"/>
      <c r="G27" s="1"/>
      <c r="H27" s="1"/>
      <c r="I27" s="1"/>
      <c r="L27" s="1" t="s">
        <v>41</v>
      </c>
      <c r="M27" s="3">
        <f>M19/M17</f>
        <v>0.7001604787</v>
      </c>
    </row>
    <row r="28">
      <c r="A28" s="10" t="s">
        <v>42</v>
      </c>
      <c r="B28" s="1">
        <v>1.0</v>
      </c>
      <c r="C28" s="1"/>
      <c r="D28" s="1"/>
      <c r="E28" s="1"/>
      <c r="F28" s="1"/>
      <c r="G28" s="1"/>
      <c r="H28" s="1"/>
      <c r="I28" s="1"/>
    </row>
    <row r="29">
      <c r="A29" s="12"/>
      <c r="B29" s="1"/>
      <c r="C29" s="1"/>
      <c r="D29" s="1"/>
      <c r="E29" s="1"/>
      <c r="F29" s="1"/>
      <c r="G29" s="1"/>
      <c r="H29" s="1" t="s">
        <v>43</v>
      </c>
      <c r="I29" s="1">
        <v>0.085</v>
      </c>
    </row>
    <row r="30">
      <c r="A30" s="13" t="s">
        <v>44</v>
      </c>
      <c r="B30" s="14" t="s">
        <v>45</v>
      </c>
      <c r="C30" s="14" t="s">
        <v>46</v>
      </c>
      <c r="D30" s="14" t="s">
        <v>47</v>
      </c>
      <c r="E30" s="14" t="s">
        <v>48</v>
      </c>
      <c r="F30" s="14" t="s">
        <v>49</v>
      </c>
      <c r="G30" s="14" t="s">
        <v>50</v>
      </c>
      <c r="H30" s="14" t="s">
        <v>51</v>
      </c>
      <c r="I30" s="14" t="s">
        <v>64</v>
      </c>
      <c r="J30" s="14" t="s">
        <v>53</v>
      </c>
      <c r="K30" s="14" t="s">
        <v>54</v>
      </c>
      <c r="L30" s="14" t="s">
        <v>55</v>
      </c>
      <c r="M30" s="14" t="s">
        <v>56</v>
      </c>
      <c r="N30" s="14" t="s">
        <v>57</v>
      </c>
      <c r="O30" s="14" t="s">
        <v>58</v>
      </c>
      <c r="P30" s="14" t="s">
        <v>59</v>
      </c>
      <c r="Q30" s="14" t="s">
        <v>60</v>
      </c>
      <c r="R30" s="14" t="s">
        <v>61</v>
      </c>
      <c r="S30" s="14" t="s">
        <v>62</v>
      </c>
      <c r="T30" s="14" t="s">
        <v>63</v>
      </c>
    </row>
    <row r="31">
      <c r="A31" s="15">
        <v>0.0</v>
      </c>
      <c r="B31" s="3">
        <f t="shared" ref="B31:B55" si="3">POWER(1-$B$8,A31)*$B$3</f>
        <v>65000</v>
      </c>
      <c r="C31" s="3">
        <f t="shared" ref="C31:C55" si="4">POWER(1+$B$9,A31)</f>
        <v>1</v>
      </c>
      <c r="D31" s="5">
        <f t="shared" ref="D31:D55" si="5">$B$7*C31*$B$10</f>
        <v>0</v>
      </c>
      <c r="E31" s="5">
        <f t="shared" ref="E31:E55" si="6">$B$7*$C31*$B$11</f>
        <v>0</v>
      </c>
      <c r="F31" s="5">
        <f t="shared" ref="F31:F55" si="7">$B$7*$C31*$B$12</f>
        <v>0</v>
      </c>
      <c r="G31" s="5">
        <f t="shared" ref="G31:G55" si="8">SUM(D31:F31)</f>
        <v>0</v>
      </c>
      <c r="H31" s="5">
        <f t="shared" ref="H31:H55" si="9">IF(A31=0,$B$17*$B$14*$B$13,H30*$B$13)</f>
        <v>8178.322664</v>
      </c>
      <c r="I31" s="5">
        <f t="shared" ref="I31:I55" si="10">$I$29*B31</f>
        <v>5525</v>
      </c>
      <c r="J31" s="5">
        <f t="shared" ref="J31:J55" si="11">MAX(IF(A31&gt;=$B$22,J30-$B$24,$B$17),0)</f>
        <v>54522.15109</v>
      </c>
      <c r="K31" s="5">
        <f t="shared" ref="K31:K55" si="12">IF(A31&gt;=$B$20,J31*$B$18,0)</f>
        <v>2180.886044</v>
      </c>
      <c r="L31" s="5">
        <f t="shared" ref="L31:L55" si="13">IF(A31=$B$28,$B$27,0)</f>
        <v>0</v>
      </c>
      <c r="M31" s="5">
        <f t="shared" ref="M31:M55" si="14">I31-G31-K31+L31</f>
        <v>3344.113956</v>
      </c>
      <c r="N31" s="5">
        <f t="shared" ref="N31:N55" si="15">M31-H31</f>
        <v>-4834.208707</v>
      </c>
      <c r="O31" s="5">
        <f t="shared" ref="O31:O55" si="16">IF(N31&lt;0,N31,0)</f>
        <v>-4834.208707</v>
      </c>
      <c r="P31" s="5">
        <f>N31-O31</f>
        <v>0</v>
      </c>
      <c r="Q31" s="5">
        <f t="shared" ref="Q31:Q55" si="17">$B$25*P31</f>
        <v>0</v>
      </c>
      <c r="R31" s="5">
        <f t="shared" ref="R31:R55" si="18">M31-Q31</f>
        <v>3344.113956</v>
      </c>
      <c r="S31" s="5">
        <f>IFERROR(__xludf.DUMMYFUNCTION("IF(ISBETWEEN(A31,$B$22,$B$22+$B$19-1),$B$24,0)"),0.0)</f>
        <v>0</v>
      </c>
      <c r="T31" s="5">
        <f t="shared" ref="T31:T55" si="19">R31-S31</f>
        <v>3344.113956</v>
      </c>
      <c r="U31" s="5">
        <f>T31</f>
        <v>3344.113956</v>
      </c>
    </row>
    <row r="32">
      <c r="A32" s="15">
        <v>1.0</v>
      </c>
      <c r="B32" s="3">
        <f t="shared" si="3"/>
        <v>64675</v>
      </c>
      <c r="C32" s="3">
        <f t="shared" si="4"/>
        <v>1.03</v>
      </c>
      <c r="D32" s="5">
        <f t="shared" si="5"/>
        <v>0</v>
      </c>
      <c r="E32" s="5">
        <f t="shared" si="6"/>
        <v>0</v>
      </c>
      <c r="F32" s="5">
        <f t="shared" si="7"/>
        <v>0</v>
      </c>
      <c r="G32" s="5">
        <f t="shared" si="8"/>
        <v>0</v>
      </c>
      <c r="H32" s="5">
        <f t="shared" si="9"/>
        <v>2453.496799</v>
      </c>
      <c r="I32" s="5">
        <f t="shared" si="10"/>
        <v>5497.375</v>
      </c>
      <c r="J32" s="5">
        <f t="shared" si="11"/>
        <v>54522.15109</v>
      </c>
      <c r="K32" s="5">
        <f t="shared" si="12"/>
        <v>2180.886044</v>
      </c>
      <c r="L32" s="5">
        <f t="shared" si="13"/>
        <v>16356.64533</v>
      </c>
      <c r="M32" s="5">
        <f t="shared" si="14"/>
        <v>19673.13428</v>
      </c>
      <c r="N32" s="5">
        <f t="shared" si="15"/>
        <v>17219.63748</v>
      </c>
      <c r="O32" s="5">
        <f t="shared" si="16"/>
        <v>0</v>
      </c>
      <c r="P32" s="5">
        <f t="shared" ref="P32:P55" si="20">IF(N32&gt;0,N32+O31,0)</f>
        <v>12385.42878</v>
      </c>
      <c r="Q32" s="5">
        <f t="shared" si="17"/>
        <v>2848.648619</v>
      </c>
      <c r="R32" s="5">
        <f t="shared" si="18"/>
        <v>16824.48567</v>
      </c>
      <c r="S32" s="5">
        <f>IFERROR(__xludf.DUMMYFUNCTION("IF(ISBETWEEN(A32,$B$22,$B$22+$B$19-1),$B$24,0)"),0.0)</f>
        <v>0</v>
      </c>
      <c r="T32" s="5">
        <f t="shared" si="19"/>
        <v>16824.48567</v>
      </c>
      <c r="U32" s="5">
        <f t="shared" ref="U32:U55" si="21">T32+U31</f>
        <v>20168.59962</v>
      </c>
    </row>
    <row r="33">
      <c r="A33" s="15">
        <v>2.0</v>
      </c>
      <c r="B33" s="3">
        <f t="shared" si="3"/>
        <v>64351.625</v>
      </c>
      <c r="C33" s="3">
        <f t="shared" si="4"/>
        <v>1.0609</v>
      </c>
      <c r="D33" s="5">
        <f t="shared" si="5"/>
        <v>0</v>
      </c>
      <c r="E33" s="5">
        <f t="shared" si="6"/>
        <v>0</v>
      </c>
      <c r="F33" s="5">
        <f t="shared" si="7"/>
        <v>0</v>
      </c>
      <c r="G33" s="5">
        <f t="shared" si="8"/>
        <v>0</v>
      </c>
      <c r="H33" s="5">
        <f t="shared" si="9"/>
        <v>736.0490397</v>
      </c>
      <c r="I33" s="5">
        <f t="shared" si="10"/>
        <v>5469.888125</v>
      </c>
      <c r="J33" s="5">
        <f t="shared" si="11"/>
        <v>54522.15109</v>
      </c>
      <c r="K33" s="5">
        <f t="shared" si="12"/>
        <v>2180.886044</v>
      </c>
      <c r="L33" s="5">
        <f t="shared" si="13"/>
        <v>0</v>
      </c>
      <c r="M33" s="5">
        <f t="shared" si="14"/>
        <v>3289.002081</v>
      </c>
      <c r="N33" s="5">
        <f t="shared" si="15"/>
        <v>2552.953042</v>
      </c>
      <c r="O33" s="5">
        <f t="shared" si="16"/>
        <v>0</v>
      </c>
      <c r="P33" s="5">
        <f t="shared" si="20"/>
        <v>2552.953042</v>
      </c>
      <c r="Q33" s="5">
        <f t="shared" si="17"/>
        <v>587.1791996</v>
      </c>
      <c r="R33" s="5">
        <f t="shared" si="18"/>
        <v>2701.822882</v>
      </c>
      <c r="S33" s="5">
        <f>IFERROR(__xludf.DUMMYFUNCTION("IF(ISBETWEEN(A33,$B$22,$B$22+$B$19-1),$B$24,0)"),0.0)</f>
        <v>0</v>
      </c>
      <c r="T33" s="5">
        <f t="shared" si="19"/>
        <v>2701.822882</v>
      </c>
      <c r="U33" s="5">
        <f t="shared" si="21"/>
        <v>22870.4225</v>
      </c>
    </row>
    <row r="34">
      <c r="A34" s="15">
        <v>3.0</v>
      </c>
      <c r="B34" s="3">
        <f t="shared" si="3"/>
        <v>64029.86688</v>
      </c>
      <c r="C34" s="3">
        <f t="shared" si="4"/>
        <v>1.092727</v>
      </c>
      <c r="D34" s="5">
        <f t="shared" si="5"/>
        <v>0</v>
      </c>
      <c r="E34" s="5">
        <f t="shared" si="6"/>
        <v>0</v>
      </c>
      <c r="F34" s="5">
        <f t="shared" si="7"/>
        <v>0</v>
      </c>
      <c r="G34" s="5">
        <f t="shared" si="8"/>
        <v>0</v>
      </c>
      <c r="H34" s="5">
        <f t="shared" si="9"/>
        <v>220.8147119</v>
      </c>
      <c r="I34" s="5">
        <f t="shared" si="10"/>
        <v>5442.538684</v>
      </c>
      <c r="J34" s="5">
        <f t="shared" si="11"/>
        <v>49069.93598</v>
      </c>
      <c r="K34" s="5">
        <f t="shared" si="12"/>
        <v>1962.797439</v>
      </c>
      <c r="L34" s="5">
        <f t="shared" si="13"/>
        <v>0</v>
      </c>
      <c r="M34" s="5">
        <f t="shared" si="14"/>
        <v>3479.741245</v>
      </c>
      <c r="N34" s="5">
        <f t="shared" si="15"/>
        <v>3258.926533</v>
      </c>
      <c r="O34" s="5">
        <f t="shared" si="16"/>
        <v>0</v>
      </c>
      <c r="P34" s="5">
        <f t="shared" si="20"/>
        <v>3258.926533</v>
      </c>
      <c r="Q34" s="5">
        <f t="shared" si="17"/>
        <v>749.5531026</v>
      </c>
      <c r="R34" s="5">
        <f t="shared" si="18"/>
        <v>2730.188142</v>
      </c>
      <c r="S34" s="5">
        <f>IFERROR(__xludf.DUMMYFUNCTION("IF(ISBETWEEN(A34,$B$22,$B$22+$B$19-1),$B$24,0)"),5452.215109178511)</f>
        <v>5452.215109</v>
      </c>
      <c r="T34" s="5">
        <f t="shared" si="19"/>
        <v>-2722.026967</v>
      </c>
      <c r="U34" s="5">
        <f t="shared" si="21"/>
        <v>20148.39554</v>
      </c>
    </row>
    <row r="35">
      <c r="A35" s="15">
        <v>4.0</v>
      </c>
      <c r="B35" s="3">
        <f t="shared" si="3"/>
        <v>63709.71754</v>
      </c>
      <c r="C35" s="3">
        <f t="shared" si="4"/>
        <v>1.12550881</v>
      </c>
      <c r="D35" s="5">
        <f t="shared" si="5"/>
        <v>0</v>
      </c>
      <c r="E35" s="5">
        <f t="shared" si="6"/>
        <v>0</v>
      </c>
      <c r="F35" s="5">
        <f t="shared" si="7"/>
        <v>0</v>
      </c>
      <c r="G35" s="5">
        <f t="shared" si="8"/>
        <v>0</v>
      </c>
      <c r="H35" s="5">
        <f t="shared" si="9"/>
        <v>66.24441358</v>
      </c>
      <c r="I35" s="5">
        <f t="shared" si="10"/>
        <v>5415.325991</v>
      </c>
      <c r="J35" s="5">
        <f t="shared" si="11"/>
        <v>43617.72087</v>
      </c>
      <c r="K35" s="5">
        <f t="shared" si="12"/>
        <v>1744.708835</v>
      </c>
      <c r="L35" s="5">
        <f t="shared" si="13"/>
        <v>0</v>
      </c>
      <c r="M35" s="5">
        <f t="shared" si="14"/>
        <v>3670.617156</v>
      </c>
      <c r="N35" s="5">
        <f t="shared" si="15"/>
        <v>3604.372742</v>
      </c>
      <c r="O35" s="5">
        <f t="shared" si="16"/>
        <v>0</v>
      </c>
      <c r="P35" s="5">
        <f t="shared" si="20"/>
        <v>3604.372742</v>
      </c>
      <c r="Q35" s="5">
        <f t="shared" si="17"/>
        <v>829.0057308</v>
      </c>
      <c r="R35" s="5">
        <f t="shared" si="18"/>
        <v>2841.611425</v>
      </c>
      <c r="S35" s="5">
        <f>IFERROR(__xludf.DUMMYFUNCTION("IF(ISBETWEEN(A35,$B$22,$B$22+$B$19-1),$B$24,0)"),5452.215109178511)</f>
        <v>5452.215109</v>
      </c>
      <c r="T35" s="5">
        <f t="shared" si="19"/>
        <v>-2610.603684</v>
      </c>
      <c r="U35" s="5">
        <f t="shared" si="21"/>
        <v>17537.79185</v>
      </c>
    </row>
    <row r="36">
      <c r="A36" s="15">
        <v>5.0</v>
      </c>
      <c r="B36" s="3">
        <f t="shared" si="3"/>
        <v>63391.16895</v>
      </c>
      <c r="C36" s="3">
        <f t="shared" si="4"/>
        <v>1.159274074</v>
      </c>
      <c r="D36" s="5">
        <f t="shared" si="5"/>
        <v>0</v>
      </c>
      <c r="E36" s="5">
        <f t="shared" si="6"/>
        <v>0</v>
      </c>
      <c r="F36" s="5">
        <f t="shared" si="7"/>
        <v>0</v>
      </c>
      <c r="G36" s="5">
        <f t="shared" si="8"/>
        <v>0</v>
      </c>
      <c r="H36" s="5">
        <f t="shared" si="9"/>
        <v>19.87332407</v>
      </c>
      <c r="I36" s="5">
        <f t="shared" si="10"/>
        <v>5388.249361</v>
      </c>
      <c r="J36" s="5">
        <f t="shared" si="11"/>
        <v>38165.50576</v>
      </c>
      <c r="K36" s="5">
        <f t="shared" si="12"/>
        <v>1526.620231</v>
      </c>
      <c r="L36" s="5">
        <f t="shared" si="13"/>
        <v>0</v>
      </c>
      <c r="M36" s="5">
        <f t="shared" si="14"/>
        <v>3861.62913</v>
      </c>
      <c r="N36" s="5">
        <f t="shared" si="15"/>
        <v>3841.755806</v>
      </c>
      <c r="O36" s="5">
        <f t="shared" si="16"/>
        <v>0</v>
      </c>
      <c r="P36" s="5">
        <f t="shared" si="20"/>
        <v>3841.755806</v>
      </c>
      <c r="Q36" s="5">
        <f t="shared" si="17"/>
        <v>883.6038355</v>
      </c>
      <c r="R36" s="5">
        <f t="shared" si="18"/>
        <v>2978.025295</v>
      </c>
      <c r="S36" s="5">
        <f>IFERROR(__xludf.DUMMYFUNCTION("IF(ISBETWEEN(A36,$B$22,$B$22+$B$19-1),$B$24,0)"),5452.215109178511)</f>
        <v>5452.215109</v>
      </c>
      <c r="T36" s="5">
        <f t="shared" si="19"/>
        <v>-2474.189814</v>
      </c>
      <c r="U36" s="5">
        <f t="shared" si="21"/>
        <v>15063.60204</v>
      </c>
    </row>
    <row r="37">
      <c r="A37" s="15">
        <v>6.0</v>
      </c>
      <c r="B37" s="3">
        <f t="shared" si="3"/>
        <v>63074.21311</v>
      </c>
      <c r="C37" s="3">
        <f t="shared" si="4"/>
        <v>1.194052297</v>
      </c>
      <c r="D37" s="5">
        <f t="shared" si="5"/>
        <v>0</v>
      </c>
      <c r="E37" s="5">
        <f t="shared" si="6"/>
        <v>0</v>
      </c>
      <c r="F37" s="5">
        <f t="shared" si="7"/>
        <v>0</v>
      </c>
      <c r="G37" s="5">
        <f t="shared" si="8"/>
        <v>0</v>
      </c>
      <c r="H37" s="5">
        <f t="shared" si="9"/>
        <v>5.961997222</v>
      </c>
      <c r="I37" s="5">
        <f t="shared" si="10"/>
        <v>5361.308114</v>
      </c>
      <c r="J37" s="5">
        <f t="shared" si="11"/>
        <v>32713.29066</v>
      </c>
      <c r="K37" s="5">
        <f t="shared" si="12"/>
        <v>1308.531626</v>
      </c>
      <c r="L37" s="5">
        <f t="shared" si="13"/>
        <v>0</v>
      </c>
      <c r="M37" s="5">
        <f t="shared" si="14"/>
        <v>4052.776488</v>
      </c>
      <c r="N37" s="5">
        <f t="shared" si="15"/>
        <v>4046.814491</v>
      </c>
      <c r="O37" s="5">
        <f t="shared" si="16"/>
        <v>0</v>
      </c>
      <c r="P37" s="5">
        <f t="shared" si="20"/>
        <v>4046.814491</v>
      </c>
      <c r="Q37" s="5">
        <f t="shared" si="17"/>
        <v>930.7673329</v>
      </c>
      <c r="R37" s="5">
        <f t="shared" si="18"/>
        <v>3122.009155</v>
      </c>
      <c r="S37" s="5">
        <f>IFERROR(__xludf.DUMMYFUNCTION("IF(ISBETWEEN(A37,$B$22,$B$22+$B$19-1),$B$24,0)"),5452.215109178511)</f>
        <v>5452.215109</v>
      </c>
      <c r="T37" s="5">
        <f t="shared" si="19"/>
        <v>-2330.205954</v>
      </c>
      <c r="U37" s="5">
        <f t="shared" si="21"/>
        <v>12733.39608</v>
      </c>
    </row>
    <row r="38">
      <c r="A38" s="15">
        <v>7.0</v>
      </c>
      <c r="B38" s="3">
        <f t="shared" si="3"/>
        <v>62758.84204</v>
      </c>
      <c r="C38" s="3">
        <f t="shared" si="4"/>
        <v>1.229873865</v>
      </c>
      <c r="D38" s="5">
        <f t="shared" si="5"/>
        <v>0</v>
      </c>
      <c r="E38" s="5">
        <f t="shared" si="6"/>
        <v>0</v>
      </c>
      <c r="F38" s="5">
        <f t="shared" si="7"/>
        <v>0</v>
      </c>
      <c r="G38" s="5">
        <f t="shared" si="8"/>
        <v>0</v>
      </c>
      <c r="H38" s="5">
        <f t="shared" si="9"/>
        <v>1.788599167</v>
      </c>
      <c r="I38" s="5">
        <f t="shared" si="10"/>
        <v>5334.501574</v>
      </c>
      <c r="J38" s="5">
        <f t="shared" si="11"/>
        <v>27261.07555</v>
      </c>
      <c r="K38" s="5">
        <f t="shared" si="12"/>
        <v>1090.443022</v>
      </c>
      <c r="L38" s="5">
        <f t="shared" si="13"/>
        <v>0</v>
      </c>
      <c r="M38" s="5">
        <f t="shared" si="14"/>
        <v>4244.058552</v>
      </c>
      <c r="N38" s="5">
        <f t="shared" si="15"/>
        <v>4242.269953</v>
      </c>
      <c r="O38" s="5">
        <f t="shared" si="16"/>
        <v>0</v>
      </c>
      <c r="P38" s="5">
        <f t="shared" si="20"/>
        <v>4242.269953</v>
      </c>
      <c r="Q38" s="5">
        <f t="shared" si="17"/>
        <v>975.7220891</v>
      </c>
      <c r="R38" s="5">
        <f t="shared" si="18"/>
        <v>3268.336463</v>
      </c>
      <c r="S38" s="5">
        <f>IFERROR(__xludf.DUMMYFUNCTION("IF(ISBETWEEN(A38,$B$22,$B$22+$B$19-1),$B$24,0)"),5452.215109178511)</f>
        <v>5452.215109</v>
      </c>
      <c r="T38" s="5">
        <f t="shared" si="19"/>
        <v>-2183.878646</v>
      </c>
      <c r="U38" s="5">
        <f t="shared" si="21"/>
        <v>10549.51744</v>
      </c>
    </row>
    <row r="39">
      <c r="A39" s="15">
        <v>8.0</v>
      </c>
      <c r="B39" s="3">
        <f t="shared" si="3"/>
        <v>62445.04783</v>
      </c>
      <c r="C39" s="3">
        <f t="shared" si="4"/>
        <v>1.266770081</v>
      </c>
      <c r="D39" s="5">
        <f t="shared" si="5"/>
        <v>0</v>
      </c>
      <c r="E39" s="5">
        <f t="shared" si="6"/>
        <v>0</v>
      </c>
      <c r="F39" s="5">
        <f t="shared" si="7"/>
        <v>0</v>
      </c>
      <c r="G39" s="5">
        <f t="shared" si="8"/>
        <v>0</v>
      </c>
      <c r="H39" s="5">
        <f t="shared" si="9"/>
        <v>0.53657975</v>
      </c>
      <c r="I39" s="5">
        <f t="shared" si="10"/>
        <v>5307.829066</v>
      </c>
      <c r="J39" s="5">
        <f t="shared" si="11"/>
        <v>21808.86044</v>
      </c>
      <c r="K39" s="5">
        <f t="shared" si="12"/>
        <v>872.3544175</v>
      </c>
      <c r="L39" s="5">
        <f t="shared" si="13"/>
        <v>0</v>
      </c>
      <c r="M39" s="5">
        <f t="shared" si="14"/>
        <v>4435.474648</v>
      </c>
      <c r="N39" s="5">
        <f t="shared" si="15"/>
        <v>4434.938069</v>
      </c>
      <c r="O39" s="5">
        <f t="shared" si="16"/>
        <v>0</v>
      </c>
      <c r="P39" s="5">
        <f t="shared" si="20"/>
        <v>4434.938069</v>
      </c>
      <c r="Q39" s="5">
        <f t="shared" si="17"/>
        <v>1020.035756</v>
      </c>
      <c r="R39" s="5">
        <f t="shared" si="18"/>
        <v>3415.438893</v>
      </c>
      <c r="S39" s="5">
        <f>IFERROR(__xludf.DUMMYFUNCTION("IF(ISBETWEEN(A39,$B$22,$B$22+$B$19-1),$B$24,0)"),5452.215109178511)</f>
        <v>5452.215109</v>
      </c>
      <c r="T39" s="5">
        <f t="shared" si="19"/>
        <v>-2036.776217</v>
      </c>
      <c r="U39" s="5">
        <f t="shared" si="21"/>
        <v>8512.741221</v>
      </c>
    </row>
    <row r="40">
      <c r="A40" s="15">
        <v>9.0</v>
      </c>
      <c r="B40" s="3">
        <f t="shared" si="3"/>
        <v>62132.82259</v>
      </c>
      <c r="C40" s="3">
        <f t="shared" si="4"/>
        <v>1.304773184</v>
      </c>
      <c r="D40" s="5">
        <f t="shared" si="5"/>
        <v>0</v>
      </c>
      <c r="E40" s="5">
        <f t="shared" si="6"/>
        <v>0</v>
      </c>
      <c r="F40" s="5">
        <f t="shared" si="7"/>
        <v>0</v>
      </c>
      <c r="G40" s="5">
        <f t="shared" si="8"/>
        <v>0</v>
      </c>
      <c r="H40" s="5">
        <f t="shared" si="9"/>
        <v>0.160973925</v>
      </c>
      <c r="I40" s="5">
        <f t="shared" si="10"/>
        <v>5281.28992</v>
      </c>
      <c r="J40" s="5">
        <f t="shared" si="11"/>
        <v>16356.64533</v>
      </c>
      <c r="K40" s="5">
        <f t="shared" si="12"/>
        <v>654.2658131</v>
      </c>
      <c r="L40" s="5">
        <f t="shared" si="13"/>
        <v>0</v>
      </c>
      <c r="M40" s="5">
        <f t="shared" si="14"/>
        <v>4627.024107</v>
      </c>
      <c r="N40" s="5">
        <f t="shared" si="15"/>
        <v>4626.863133</v>
      </c>
      <c r="O40" s="5">
        <f t="shared" si="16"/>
        <v>0</v>
      </c>
      <c r="P40" s="5">
        <f t="shared" si="20"/>
        <v>4626.863133</v>
      </c>
      <c r="Q40" s="5">
        <f t="shared" si="17"/>
        <v>1064.178521</v>
      </c>
      <c r="R40" s="5">
        <f t="shared" si="18"/>
        <v>3562.845587</v>
      </c>
      <c r="S40" s="5">
        <f>IFERROR(__xludf.DUMMYFUNCTION("IF(ISBETWEEN(A40,$B$22,$B$22+$B$19-1),$B$24,0)"),5452.215109178511)</f>
        <v>5452.215109</v>
      </c>
      <c r="T40" s="5">
        <f t="shared" si="19"/>
        <v>-1889.369523</v>
      </c>
      <c r="U40" s="5">
        <f t="shared" si="21"/>
        <v>6623.371699</v>
      </c>
    </row>
    <row r="41">
      <c r="A41" s="15">
        <v>10.0</v>
      </c>
      <c r="B41" s="3">
        <f t="shared" si="3"/>
        <v>61822.15848</v>
      </c>
      <c r="C41" s="3">
        <f t="shared" si="4"/>
        <v>1.343916379</v>
      </c>
      <c r="D41" s="5">
        <f t="shared" si="5"/>
        <v>0</v>
      </c>
      <c r="E41" s="5">
        <f t="shared" si="6"/>
        <v>0</v>
      </c>
      <c r="F41" s="5">
        <f t="shared" si="7"/>
        <v>0</v>
      </c>
      <c r="G41" s="5">
        <f t="shared" si="8"/>
        <v>0</v>
      </c>
      <c r="H41" s="5">
        <f t="shared" si="9"/>
        <v>0.0482921775</v>
      </c>
      <c r="I41" s="5">
        <f t="shared" si="10"/>
        <v>5254.883471</v>
      </c>
      <c r="J41" s="5">
        <f t="shared" si="11"/>
        <v>10904.43022</v>
      </c>
      <c r="K41" s="5">
        <f t="shared" si="12"/>
        <v>436.1772087</v>
      </c>
      <c r="L41" s="5">
        <f t="shared" si="13"/>
        <v>0</v>
      </c>
      <c r="M41" s="5">
        <f t="shared" si="14"/>
        <v>4818.706262</v>
      </c>
      <c r="N41" s="5">
        <f t="shared" si="15"/>
        <v>4818.65797</v>
      </c>
      <c r="O41" s="5">
        <f t="shared" si="16"/>
        <v>0</v>
      </c>
      <c r="P41" s="5">
        <f t="shared" si="20"/>
        <v>4818.65797</v>
      </c>
      <c r="Q41" s="5">
        <f t="shared" si="17"/>
        <v>1108.291333</v>
      </c>
      <c r="R41" s="5">
        <f t="shared" si="18"/>
        <v>3710.414929</v>
      </c>
      <c r="S41" s="5">
        <f>IFERROR(__xludf.DUMMYFUNCTION("IF(ISBETWEEN(A41,$B$22,$B$22+$B$19-1),$B$24,0)"),5452.215109178511)</f>
        <v>5452.215109</v>
      </c>
      <c r="T41" s="5">
        <f t="shared" si="19"/>
        <v>-1741.80018</v>
      </c>
      <c r="U41" s="5">
        <f t="shared" si="21"/>
        <v>4881.571518</v>
      </c>
    </row>
    <row r="42">
      <c r="A42" s="15">
        <v>11.0</v>
      </c>
      <c r="B42" s="3">
        <f t="shared" si="3"/>
        <v>61513.04769</v>
      </c>
      <c r="C42" s="3">
        <f t="shared" si="4"/>
        <v>1.384233871</v>
      </c>
      <c r="D42" s="5">
        <f t="shared" si="5"/>
        <v>0</v>
      </c>
      <c r="E42" s="5">
        <f t="shared" si="6"/>
        <v>0</v>
      </c>
      <c r="F42" s="5">
        <f t="shared" si="7"/>
        <v>0</v>
      </c>
      <c r="G42" s="5">
        <f t="shared" si="8"/>
        <v>0</v>
      </c>
      <c r="H42" s="5">
        <f t="shared" si="9"/>
        <v>0.01448765325</v>
      </c>
      <c r="I42" s="5">
        <f t="shared" si="10"/>
        <v>5228.609053</v>
      </c>
      <c r="J42" s="5">
        <f t="shared" si="11"/>
        <v>5452.215109</v>
      </c>
      <c r="K42" s="5">
        <f t="shared" si="12"/>
        <v>218.0886044</v>
      </c>
      <c r="L42" s="5">
        <f t="shared" si="13"/>
        <v>0</v>
      </c>
      <c r="M42" s="5">
        <f t="shared" si="14"/>
        <v>5010.520449</v>
      </c>
      <c r="N42" s="5">
        <f t="shared" si="15"/>
        <v>5010.505961</v>
      </c>
      <c r="O42" s="5">
        <f t="shared" si="16"/>
        <v>0</v>
      </c>
      <c r="P42" s="5">
        <f t="shared" si="20"/>
        <v>5010.505961</v>
      </c>
      <c r="Q42" s="5">
        <f t="shared" si="17"/>
        <v>1152.416371</v>
      </c>
      <c r="R42" s="5">
        <f t="shared" si="18"/>
        <v>3858.104078</v>
      </c>
      <c r="S42" s="5">
        <f>IFERROR(__xludf.DUMMYFUNCTION("IF(ISBETWEEN(A42,$B$22,$B$22+$B$19-1),$B$24,0)"),5452.215109178511)</f>
        <v>5452.215109</v>
      </c>
      <c r="T42" s="5">
        <f t="shared" si="19"/>
        <v>-1594.111031</v>
      </c>
      <c r="U42" s="5">
        <f t="shared" si="21"/>
        <v>3287.460487</v>
      </c>
    </row>
    <row r="43">
      <c r="A43" s="15">
        <v>12.0</v>
      </c>
      <c r="B43" s="3">
        <f t="shared" si="3"/>
        <v>61205.48245</v>
      </c>
      <c r="C43" s="3">
        <f t="shared" si="4"/>
        <v>1.425760887</v>
      </c>
      <c r="D43" s="5">
        <f t="shared" si="5"/>
        <v>0</v>
      </c>
      <c r="E43" s="5">
        <f t="shared" si="6"/>
        <v>0</v>
      </c>
      <c r="F43" s="5">
        <f t="shared" si="7"/>
        <v>0</v>
      </c>
      <c r="G43" s="5">
        <f t="shared" si="8"/>
        <v>0</v>
      </c>
      <c r="H43" s="5">
        <f t="shared" si="9"/>
        <v>0.004346295975</v>
      </c>
      <c r="I43" s="5">
        <f t="shared" si="10"/>
        <v>5202.466008</v>
      </c>
      <c r="J43" s="5">
        <f t="shared" si="11"/>
        <v>0</v>
      </c>
      <c r="K43" s="5">
        <f t="shared" si="12"/>
        <v>0</v>
      </c>
      <c r="L43" s="5">
        <f t="shared" si="13"/>
        <v>0</v>
      </c>
      <c r="M43" s="5">
        <f t="shared" si="14"/>
        <v>5202.466008</v>
      </c>
      <c r="N43" s="5">
        <f t="shared" si="15"/>
        <v>5202.461662</v>
      </c>
      <c r="O43" s="5">
        <f t="shared" si="16"/>
        <v>0</v>
      </c>
      <c r="P43" s="5">
        <f t="shared" si="20"/>
        <v>5202.461662</v>
      </c>
      <c r="Q43" s="5">
        <f t="shared" si="17"/>
        <v>1196.566182</v>
      </c>
      <c r="R43" s="5">
        <f t="shared" si="18"/>
        <v>4005.899826</v>
      </c>
      <c r="S43" s="5">
        <f>IFERROR(__xludf.DUMMYFUNCTION("IF(ISBETWEEN(A43,$B$22,$B$22+$B$19-1),$B$24,0)"),5452.215109178511)</f>
        <v>5452.215109</v>
      </c>
      <c r="T43" s="5">
        <f t="shared" si="19"/>
        <v>-1446.315283</v>
      </c>
      <c r="U43" s="5">
        <f t="shared" si="21"/>
        <v>1841.145204</v>
      </c>
    </row>
    <row r="44">
      <c r="A44" s="15">
        <v>13.0</v>
      </c>
      <c r="B44" s="3">
        <f t="shared" si="3"/>
        <v>60899.45504</v>
      </c>
      <c r="C44" s="3">
        <f t="shared" si="4"/>
        <v>1.468533713</v>
      </c>
      <c r="D44" s="5">
        <f t="shared" si="5"/>
        <v>0</v>
      </c>
      <c r="E44" s="5">
        <f t="shared" si="6"/>
        <v>0</v>
      </c>
      <c r="F44" s="5">
        <f t="shared" si="7"/>
        <v>0</v>
      </c>
      <c r="G44" s="5">
        <f t="shared" si="8"/>
        <v>0</v>
      </c>
      <c r="H44" s="5">
        <f t="shared" si="9"/>
        <v>0.001303888792</v>
      </c>
      <c r="I44" s="5">
        <f t="shared" si="10"/>
        <v>5176.453678</v>
      </c>
      <c r="J44" s="5">
        <f t="shared" si="11"/>
        <v>0</v>
      </c>
      <c r="K44" s="5">
        <f t="shared" si="12"/>
        <v>0</v>
      </c>
      <c r="L44" s="5">
        <f t="shared" si="13"/>
        <v>0</v>
      </c>
      <c r="M44" s="5">
        <f t="shared" si="14"/>
        <v>5176.453678</v>
      </c>
      <c r="N44" s="5">
        <f t="shared" si="15"/>
        <v>5176.452374</v>
      </c>
      <c r="O44" s="5">
        <f t="shared" si="16"/>
        <v>0</v>
      </c>
      <c r="P44" s="5">
        <f t="shared" si="20"/>
        <v>5176.452374</v>
      </c>
      <c r="Q44" s="5">
        <f t="shared" si="17"/>
        <v>1190.584046</v>
      </c>
      <c r="R44" s="5">
        <f t="shared" si="18"/>
        <v>3985.869632</v>
      </c>
      <c r="S44" s="5">
        <f>IFERROR(__xludf.DUMMYFUNCTION("IF(ISBETWEEN(A44,$B$22,$B$22+$B$19-1),$B$24,0)"),0.0)</f>
        <v>0</v>
      </c>
      <c r="T44" s="5">
        <f t="shared" si="19"/>
        <v>3985.869632</v>
      </c>
      <c r="U44" s="5">
        <f t="shared" si="21"/>
        <v>5827.014836</v>
      </c>
    </row>
    <row r="45">
      <c r="A45" s="15">
        <v>14.0</v>
      </c>
      <c r="B45" s="3">
        <f t="shared" si="3"/>
        <v>60594.95776</v>
      </c>
      <c r="C45" s="3">
        <f t="shared" si="4"/>
        <v>1.512589725</v>
      </c>
      <c r="D45" s="5">
        <f t="shared" si="5"/>
        <v>0</v>
      </c>
      <c r="E45" s="5">
        <f t="shared" si="6"/>
        <v>0</v>
      </c>
      <c r="F45" s="5">
        <f t="shared" si="7"/>
        <v>0</v>
      </c>
      <c r="G45" s="5">
        <f t="shared" si="8"/>
        <v>0</v>
      </c>
      <c r="H45" s="5">
        <f t="shared" si="9"/>
        <v>0.0003911666377</v>
      </c>
      <c r="I45" s="5">
        <f t="shared" si="10"/>
        <v>5150.57141</v>
      </c>
      <c r="J45" s="5">
        <f t="shared" si="11"/>
        <v>0</v>
      </c>
      <c r="K45" s="5">
        <f t="shared" si="12"/>
        <v>0</v>
      </c>
      <c r="L45" s="5">
        <f t="shared" si="13"/>
        <v>0</v>
      </c>
      <c r="M45" s="5">
        <f t="shared" si="14"/>
        <v>5150.57141</v>
      </c>
      <c r="N45" s="5">
        <f t="shared" si="15"/>
        <v>5150.571019</v>
      </c>
      <c r="O45" s="5">
        <f t="shared" si="16"/>
        <v>0</v>
      </c>
      <c r="P45" s="5">
        <f t="shared" si="20"/>
        <v>5150.571019</v>
      </c>
      <c r="Q45" s="5">
        <f t="shared" si="17"/>
        <v>1184.631334</v>
      </c>
      <c r="R45" s="5">
        <f t="shared" si="18"/>
        <v>3965.940075</v>
      </c>
      <c r="S45" s="5">
        <f>IFERROR(__xludf.DUMMYFUNCTION("IF(ISBETWEEN(A45,$B$22,$B$22+$B$19-1),$B$24,0)"),0.0)</f>
        <v>0</v>
      </c>
      <c r="T45" s="5">
        <f t="shared" si="19"/>
        <v>3965.940075</v>
      </c>
      <c r="U45" s="5">
        <f t="shared" si="21"/>
        <v>9792.954912</v>
      </c>
    </row>
    <row r="46">
      <c r="A46" s="15">
        <v>15.0</v>
      </c>
      <c r="B46" s="3">
        <f t="shared" si="3"/>
        <v>60291.98297</v>
      </c>
      <c r="C46" s="3">
        <f t="shared" si="4"/>
        <v>1.557967417</v>
      </c>
      <c r="D46" s="5">
        <f t="shared" si="5"/>
        <v>0</v>
      </c>
      <c r="E46" s="5">
        <f t="shared" si="6"/>
        <v>0</v>
      </c>
      <c r="F46" s="5">
        <f t="shared" si="7"/>
        <v>0</v>
      </c>
      <c r="G46" s="5">
        <f t="shared" si="8"/>
        <v>0</v>
      </c>
      <c r="H46" s="5">
        <f t="shared" si="9"/>
        <v>0.0001173499913</v>
      </c>
      <c r="I46" s="5">
        <f t="shared" si="10"/>
        <v>5124.818553</v>
      </c>
      <c r="J46" s="5">
        <f t="shared" si="11"/>
        <v>0</v>
      </c>
      <c r="K46" s="5">
        <f t="shared" si="12"/>
        <v>0</v>
      </c>
      <c r="L46" s="5">
        <f t="shared" si="13"/>
        <v>0</v>
      </c>
      <c r="M46" s="5">
        <f t="shared" si="14"/>
        <v>5124.818553</v>
      </c>
      <c r="N46" s="5">
        <f t="shared" si="15"/>
        <v>5124.818435</v>
      </c>
      <c r="O46" s="5">
        <f t="shared" si="16"/>
        <v>0</v>
      </c>
      <c r="P46" s="5">
        <f t="shared" si="20"/>
        <v>5124.818435</v>
      </c>
      <c r="Q46" s="5">
        <f t="shared" si="17"/>
        <v>1178.70824</v>
      </c>
      <c r="R46" s="5">
        <f t="shared" si="18"/>
        <v>3946.110313</v>
      </c>
      <c r="S46" s="5">
        <f>IFERROR(__xludf.DUMMYFUNCTION("IF(ISBETWEEN(A46,$B$22,$B$22+$B$19-1),$B$24,0)"),0.0)</f>
        <v>0</v>
      </c>
      <c r="T46" s="5">
        <f t="shared" si="19"/>
        <v>3946.110313</v>
      </c>
      <c r="U46" s="5">
        <f t="shared" si="21"/>
        <v>13739.06522</v>
      </c>
    </row>
    <row r="47">
      <c r="A47" s="15">
        <v>16.0</v>
      </c>
      <c r="B47" s="3">
        <f t="shared" si="3"/>
        <v>59990.52306</v>
      </c>
      <c r="C47" s="3">
        <f t="shared" si="4"/>
        <v>1.604706439</v>
      </c>
      <c r="D47" s="5">
        <f t="shared" si="5"/>
        <v>0</v>
      </c>
      <c r="E47" s="5">
        <f t="shared" si="6"/>
        <v>0</v>
      </c>
      <c r="F47" s="5">
        <f t="shared" si="7"/>
        <v>0</v>
      </c>
      <c r="G47" s="5">
        <f t="shared" si="8"/>
        <v>0</v>
      </c>
      <c r="H47" s="5">
        <f t="shared" si="9"/>
        <v>0.0000352049974</v>
      </c>
      <c r="I47" s="5">
        <f t="shared" si="10"/>
        <v>5099.19446</v>
      </c>
      <c r="J47" s="5">
        <f t="shared" si="11"/>
        <v>0</v>
      </c>
      <c r="K47" s="5">
        <f t="shared" si="12"/>
        <v>0</v>
      </c>
      <c r="L47" s="5">
        <f t="shared" si="13"/>
        <v>0</v>
      </c>
      <c r="M47" s="5">
        <f t="shared" si="14"/>
        <v>5099.19446</v>
      </c>
      <c r="N47" s="5">
        <f t="shared" si="15"/>
        <v>5099.194425</v>
      </c>
      <c r="O47" s="5">
        <f t="shared" si="16"/>
        <v>0</v>
      </c>
      <c r="P47" s="5">
        <f t="shared" si="20"/>
        <v>5099.194425</v>
      </c>
      <c r="Q47" s="5">
        <f t="shared" si="17"/>
        <v>1172.814718</v>
      </c>
      <c r="R47" s="5">
        <f t="shared" si="18"/>
        <v>3926.379742</v>
      </c>
      <c r="S47" s="5">
        <f>IFERROR(__xludf.DUMMYFUNCTION("IF(ISBETWEEN(A47,$B$22,$B$22+$B$19-1),$B$24,0)"),0.0)</f>
        <v>0</v>
      </c>
      <c r="T47" s="5">
        <f t="shared" si="19"/>
        <v>3926.379742</v>
      </c>
      <c r="U47" s="5">
        <f t="shared" si="21"/>
        <v>17665.44497</v>
      </c>
    </row>
    <row r="48">
      <c r="A48" s="15">
        <v>17.0</v>
      </c>
      <c r="B48" s="3">
        <f t="shared" si="3"/>
        <v>59690.57044</v>
      </c>
      <c r="C48" s="3">
        <f t="shared" si="4"/>
        <v>1.652847632</v>
      </c>
      <c r="D48" s="5">
        <f t="shared" si="5"/>
        <v>0</v>
      </c>
      <c r="E48" s="5">
        <f t="shared" si="6"/>
        <v>0</v>
      </c>
      <c r="F48" s="5">
        <f t="shared" si="7"/>
        <v>0</v>
      </c>
      <c r="G48" s="5">
        <f t="shared" si="8"/>
        <v>0</v>
      </c>
      <c r="H48" s="5">
        <f t="shared" si="9"/>
        <v>0.00001056149922</v>
      </c>
      <c r="I48" s="5">
        <f t="shared" si="10"/>
        <v>5073.698488</v>
      </c>
      <c r="J48" s="5">
        <f t="shared" si="11"/>
        <v>0</v>
      </c>
      <c r="K48" s="5">
        <f t="shared" si="12"/>
        <v>0</v>
      </c>
      <c r="L48" s="5">
        <f t="shared" si="13"/>
        <v>0</v>
      </c>
      <c r="M48" s="5">
        <f t="shared" si="14"/>
        <v>5073.698488</v>
      </c>
      <c r="N48" s="5">
        <f t="shared" si="15"/>
        <v>5073.698477</v>
      </c>
      <c r="O48" s="5">
        <f t="shared" si="16"/>
        <v>0</v>
      </c>
      <c r="P48" s="5">
        <f t="shared" si="20"/>
        <v>5073.698477</v>
      </c>
      <c r="Q48" s="5">
        <f t="shared" si="17"/>
        <v>1166.95065</v>
      </c>
      <c r="R48" s="5">
        <f t="shared" si="18"/>
        <v>3906.747838</v>
      </c>
      <c r="S48" s="5">
        <f>IFERROR(__xludf.DUMMYFUNCTION("IF(ISBETWEEN(A48,$B$22,$B$22+$B$19-1),$B$24,0)"),0.0)</f>
        <v>0</v>
      </c>
      <c r="T48" s="5">
        <f t="shared" si="19"/>
        <v>3906.747838</v>
      </c>
      <c r="U48" s="5">
        <f t="shared" si="21"/>
        <v>21572.1928</v>
      </c>
    </row>
    <row r="49">
      <c r="A49" s="15">
        <v>18.0</v>
      </c>
      <c r="B49" s="3">
        <f t="shared" si="3"/>
        <v>59392.11759</v>
      </c>
      <c r="C49" s="3">
        <f t="shared" si="4"/>
        <v>1.702433061</v>
      </c>
      <c r="D49" s="5">
        <f t="shared" si="5"/>
        <v>0</v>
      </c>
      <c r="E49" s="5">
        <f t="shared" si="6"/>
        <v>0</v>
      </c>
      <c r="F49" s="5">
        <f t="shared" si="7"/>
        <v>0</v>
      </c>
      <c r="G49" s="5">
        <f t="shared" si="8"/>
        <v>0</v>
      </c>
      <c r="H49" s="5">
        <f t="shared" si="9"/>
        <v>0.000003168449766</v>
      </c>
      <c r="I49" s="5">
        <f t="shared" si="10"/>
        <v>5048.329995</v>
      </c>
      <c r="J49" s="5">
        <f t="shared" si="11"/>
        <v>0</v>
      </c>
      <c r="K49" s="5">
        <f t="shared" si="12"/>
        <v>0</v>
      </c>
      <c r="L49" s="5">
        <f t="shared" si="13"/>
        <v>0</v>
      </c>
      <c r="M49" s="5">
        <f t="shared" si="14"/>
        <v>5048.329995</v>
      </c>
      <c r="N49" s="5">
        <f t="shared" si="15"/>
        <v>5048.329992</v>
      </c>
      <c r="O49" s="5">
        <f t="shared" si="16"/>
        <v>0</v>
      </c>
      <c r="P49" s="5">
        <f t="shared" si="20"/>
        <v>5048.329992</v>
      </c>
      <c r="Q49" s="5">
        <f t="shared" si="17"/>
        <v>1161.115898</v>
      </c>
      <c r="R49" s="5">
        <f t="shared" si="18"/>
        <v>3887.214097</v>
      </c>
      <c r="S49" s="5">
        <f>IFERROR(__xludf.DUMMYFUNCTION("IF(ISBETWEEN(A49,$B$22,$B$22+$B$19-1),$B$24,0)"),0.0)</f>
        <v>0</v>
      </c>
      <c r="T49" s="5">
        <f t="shared" si="19"/>
        <v>3887.214097</v>
      </c>
      <c r="U49" s="5">
        <f t="shared" si="21"/>
        <v>25459.4069</v>
      </c>
    </row>
    <row r="50">
      <c r="A50" s="15">
        <v>19.0</v>
      </c>
      <c r="B50" s="3">
        <f t="shared" si="3"/>
        <v>59095.157</v>
      </c>
      <c r="C50" s="3">
        <f t="shared" si="4"/>
        <v>1.753506053</v>
      </c>
      <c r="D50" s="5">
        <f t="shared" si="5"/>
        <v>0</v>
      </c>
      <c r="E50" s="5">
        <f t="shared" si="6"/>
        <v>0</v>
      </c>
      <c r="F50" s="5">
        <f t="shared" si="7"/>
        <v>0</v>
      </c>
      <c r="G50" s="5">
        <f t="shared" si="8"/>
        <v>0</v>
      </c>
      <c r="H50" s="5">
        <f t="shared" si="9"/>
        <v>0.0000009505349297</v>
      </c>
      <c r="I50" s="5">
        <f t="shared" si="10"/>
        <v>5023.088345</v>
      </c>
      <c r="J50" s="5">
        <f t="shared" si="11"/>
        <v>0</v>
      </c>
      <c r="K50" s="5">
        <f t="shared" si="12"/>
        <v>0</v>
      </c>
      <c r="L50" s="5">
        <f t="shared" si="13"/>
        <v>0</v>
      </c>
      <c r="M50" s="5">
        <f t="shared" si="14"/>
        <v>5023.088345</v>
      </c>
      <c r="N50" s="5">
        <f t="shared" si="15"/>
        <v>5023.088344</v>
      </c>
      <c r="O50" s="5">
        <f t="shared" si="16"/>
        <v>0</v>
      </c>
      <c r="P50" s="5">
        <f t="shared" si="20"/>
        <v>5023.088344</v>
      </c>
      <c r="Q50" s="5">
        <f t="shared" si="17"/>
        <v>1155.310319</v>
      </c>
      <c r="R50" s="5">
        <f t="shared" si="18"/>
        <v>3867.778026</v>
      </c>
      <c r="S50" s="5">
        <f>IFERROR(__xludf.DUMMYFUNCTION("IF(ISBETWEEN(A50,$B$22,$B$22+$B$19-1),$B$24,0)"),0.0)</f>
        <v>0</v>
      </c>
      <c r="T50" s="5">
        <f t="shared" si="19"/>
        <v>3867.778026</v>
      </c>
      <c r="U50" s="5">
        <f t="shared" si="21"/>
        <v>29327.18493</v>
      </c>
    </row>
    <row r="51">
      <c r="A51" s="15">
        <v>20.0</v>
      </c>
      <c r="B51" s="3">
        <f t="shared" si="3"/>
        <v>58799.68122</v>
      </c>
      <c r="C51" s="3">
        <f t="shared" si="4"/>
        <v>1.806111235</v>
      </c>
      <c r="D51" s="5">
        <f t="shared" si="5"/>
        <v>0</v>
      </c>
      <c r="E51" s="5">
        <f t="shared" si="6"/>
        <v>0</v>
      </c>
      <c r="F51" s="5">
        <f t="shared" si="7"/>
        <v>0</v>
      </c>
      <c r="G51" s="5">
        <f t="shared" si="8"/>
        <v>0</v>
      </c>
      <c r="H51" s="5">
        <f t="shared" si="9"/>
        <v>0.0000002851604789</v>
      </c>
      <c r="I51" s="5">
        <f t="shared" si="10"/>
        <v>4997.972904</v>
      </c>
      <c r="J51" s="5">
        <f t="shared" si="11"/>
        <v>0</v>
      </c>
      <c r="K51" s="5">
        <f t="shared" si="12"/>
        <v>0</v>
      </c>
      <c r="L51" s="5">
        <f t="shared" si="13"/>
        <v>0</v>
      </c>
      <c r="M51" s="5">
        <f t="shared" si="14"/>
        <v>4997.972904</v>
      </c>
      <c r="N51" s="5">
        <f t="shared" si="15"/>
        <v>4997.972903</v>
      </c>
      <c r="O51" s="5">
        <f t="shared" si="16"/>
        <v>0</v>
      </c>
      <c r="P51" s="5">
        <f t="shared" si="20"/>
        <v>4997.972903</v>
      </c>
      <c r="Q51" s="5">
        <f t="shared" si="17"/>
        <v>1149.533768</v>
      </c>
      <c r="R51" s="5">
        <f t="shared" si="18"/>
        <v>3848.439136</v>
      </c>
      <c r="S51" s="5">
        <f>IFERROR(__xludf.DUMMYFUNCTION("IF(ISBETWEEN(A51,$B$22,$B$22+$B$19-1),$B$24,0)"),0.0)</f>
        <v>0</v>
      </c>
      <c r="T51" s="5">
        <f t="shared" si="19"/>
        <v>3848.439136</v>
      </c>
      <c r="U51" s="5">
        <f t="shared" si="21"/>
        <v>33175.62406</v>
      </c>
    </row>
    <row r="52">
      <c r="A52" s="15">
        <v>21.0</v>
      </c>
      <c r="B52" s="3">
        <f t="shared" si="3"/>
        <v>58505.68281</v>
      </c>
      <c r="C52" s="3">
        <f t="shared" si="4"/>
        <v>1.860294572</v>
      </c>
      <c r="D52" s="5">
        <f t="shared" si="5"/>
        <v>0</v>
      </c>
      <c r="E52" s="5">
        <f t="shared" si="6"/>
        <v>0</v>
      </c>
      <c r="F52" s="5">
        <f t="shared" si="7"/>
        <v>0</v>
      </c>
      <c r="G52" s="5">
        <f t="shared" si="8"/>
        <v>0</v>
      </c>
      <c r="H52" s="5">
        <f t="shared" si="9"/>
        <v>0.00000008554814367</v>
      </c>
      <c r="I52" s="5">
        <f t="shared" si="10"/>
        <v>4972.983039</v>
      </c>
      <c r="J52" s="5">
        <f t="shared" si="11"/>
        <v>0</v>
      </c>
      <c r="K52" s="5">
        <f t="shared" si="12"/>
        <v>0</v>
      </c>
      <c r="L52" s="5">
        <f t="shared" si="13"/>
        <v>0</v>
      </c>
      <c r="M52" s="5">
        <f t="shared" si="14"/>
        <v>4972.983039</v>
      </c>
      <c r="N52" s="5">
        <f t="shared" si="15"/>
        <v>4972.983039</v>
      </c>
      <c r="O52" s="5">
        <f t="shared" si="16"/>
        <v>0</v>
      </c>
      <c r="P52" s="5">
        <f t="shared" si="20"/>
        <v>4972.983039</v>
      </c>
      <c r="Q52" s="5">
        <f t="shared" si="17"/>
        <v>1143.786099</v>
      </c>
      <c r="R52" s="5">
        <f t="shared" si="18"/>
        <v>3829.19694</v>
      </c>
      <c r="S52" s="5">
        <f>IFERROR(__xludf.DUMMYFUNCTION("IF(ISBETWEEN(A52,$B$22,$B$22+$B$19-1),$B$24,0)"),0.0)</f>
        <v>0</v>
      </c>
      <c r="T52" s="5">
        <f t="shared" si="19"/>
        <v>3829.19694</v>
      </c>
      <c r="U52" s="5">
        <f t="shared" si="21"/>
        <v>37004.821</v>
      </c>
    </row>
    <row r="53">
      <c r="A53" s="15">
        <v>22.0</v>
      </c>
      <c r="B53" s="3">
        <f t="shared" si="3"/>
        <v>58213.1544</v>
      </c>
      <c r="C53" s="3">
        <f t="shared" si="4"/>
        <v>1.916103409</v>
      </c>
      <c r="D53" s="5">
        <f t="shared" si="5"/>
        <v>0</v>
      </c>
      <c r="E53" s="5">
        <f t="shared" si="6"/>
        <v>0</v>
      </c>
      <c r="F53" s="5">
        <f t="shared" si="7"/>
        <v>0</v>
      </c>
      <c r="G53" s="5">
        <f t="shared" si="8"/>
        <v>0</v>
      </c>
      <c r="H53" s="5">
        <f t="shared" si="9"/>
        <v>0.0000000256644431</v>
      </c>
      <c r="I53" s="5">
        <f t="shared" si="10"/>
        <v>4948.118124</v>
      </c>
      <c r="J53" s="5">
        <f t="shared" si="11"/>
        <v>0</v>
      </c>
      <c r="K53" s="5">
        <f t="shared" si="12"/>
        <v>0</v>
      </c>
      <c r="L53" s="5">
        <f t="shared" si="13"/>
        <v>0</v>
      </c>
      <c r="M53" s="5">
        <f t="shared" si="14"/>
        <v>4948.118124</v>
      </c>
      <c r="N53" s="5">
        <f t="shared" si="15"/>
        <v>4948.118124</v>
      </c>
      <c r="O53" s="5">
        <f t="shared" si="16"/>
        <v>0</v>
      </c>
      <c r="P53" s="5">
        <f t="shared" si="20"/>
        <v>4948.118124</v>
      </c>
      <c r="Q53" s="5">
        <f t="shared" si="17"/>
        <v>1138.067168</v>
      </c>
      <c r="R53" s="5">
        <f t="shared" si="18"/>
        <v>3810.050955</v>
      </c>
      <c r="S53" s="5">
        <f>IFERROR(__xludf.DUMMYFUNCTION("IF(ISBETWEEN(A53,$B$22,$B$22+$B$19-1),$B$24,0)"),0.0)</f>
        <v>0</v>
      </c>
      <c r="T53" s="5">
        <f t="shared" si="19"/>
        <v>3810.050955</v>
      </c>
      <c r="U53" s="5">
        <f t="shared" si="21"/>
        <v>40814.87196</v>
      </c>
    </row>
    <row r="54">
      <c r="A54" s="15">
        <v>23.0</v>
      </c>
      <c r="B54" s="3">
        <f t="shared" si="3"/>
        <v>57922.08863</v>
      </c>
      <c r="C54" s="3">
        <f t="shared" si="4"/>
        <v>1.973586511</v>
      </c>
      <c r="D54" s="5">
        <f t="shared" si="5"/>
        <v>0</v>
      </c>
      <c r="E54" s="5">
        <f t="shared" si="6"/>
        <v>0</v>
      </c>
      <c r="F54" s="5">
        <f t="shared" si="7"/>
        <v>0</v>
      </c>
      <c r="G54" s="5">
        <f t="shared" si="8"/>
        <v>0</v>
      </c>
      <c r="H54" s="5">
        <f t="shared" si="9"/>
        <v>0.00000000769933293</v>
      </c>
      <c r="I54" s="5">
        <f t="shared" si="10"/>
        <v>4923.377533</v>
      </c>
      <c r="J54" s="5">
        <f t="shared" si="11"/>
        <v>0</v>
      </c>
      <c r="K54" s="5">
        <f t="shared" si="12"/>
        <v>0</v>
      </c>
      <c r="L54" s="5">
        <f t="shared" si="13"/>
        <v>0</v>
      </c>
      <c r="M54" s="5">
        <f t="shared" si="14"/>
        <v>4923.377533</v>
      </c>
      <c r="N54" s="5">
        <f t="shared" si="15"/>
        <v>4923.377533</v>
      </c>
      <c r="O54" s="5">
        <f t="shared" si="16"/>
        <v>0</v>
      </c>
      <c r="P54" s="5">
        <f t="shared" si="20"/>
        <v>4923.377533</v>
      </c>
      <c r="Q54" s="5">
        <f t="shared" si="17"/>
        <v>1132.376833</v>
      </c>
      <c r="R54" s="5">
        <f t="shared" si="18"/>
        <v>3791.000701</v>
      </c>
      <c r="S54" s="5">
        <f>IFERROR(__xludf.DUMMYFUNCTION("IF(ISBETWEEN(A54,$B$22,$B$22+$B$19-1),$B$24,0)"),0.0)</f>
        <v>0</v>
      </c>
      <c r="T54" s="5">
        <f t="shared" si="19"/>
        <v>3791.000701</v>
      </c>
      <c r="U54" s="5">
        <f t="shared" si="21"/>
        <v>44605.87266</v>
      </c>
    </row>
    <row r="55">
      <c r="A55" s="15">
        <v>24.0</v>
      </c>
      <c r="B55" s="3">
        <f t="shared" si="3"/>
        <v>57632.47818</v>
      </c>
      <c r="C55" s="3">
        <f t="shared" si="4"/>
        <v>2.032794106</v>
      </c>
      <c r="D55" s="5">
        <f t="shared" si="5"/>
        <v>0</v>
      </c>
      <c r="E55" s="5">
        <f t="shared" si="6"/>
        <v>0</v>
      </c>
      <c r="F55" s="5">
        <f t="shared" si="7"/>
        <v>0</v>
      </c>
      <c r="G55" s="5">
        <f t="shared" si="8"/>
        <v>0</v>
      </c>
      <c r="H55" s="5">
        <f t="shared" si="9"/>
        <v>0.000000002309799879</v>
      </c>
      <c r="I55" s="5">
        <f t="shared" si="10"/>
        <v>4898.760646</v>
      </c>
      <c r="J55" s="5">
        <f t="shared" si="11"/>
        <v>0</v>
      </c>
      <c r="K55" s="5">
        <f t="shared" si="12"/>
        <v>0</v>
      </c>
      <c r="L55" s="5">
        <f t="shared" si="13"/>
        <v>0</v>
      </c>
      <c r="M55" s="5">
        <f t="shared" si="14"/>
        <v>4898.760646</v>
      </c>
      <c r="N55" s="5">
        <f t="shared" si="15"/>
        <v>4898.760646</v>
      </c>
      <c r="O55" s="5">
        <f t="shared" si="16"/>
        <v>0</v>
      </c>
      <c r="P55" s="5">
        <f t="shared" si="20"/>
        <v>4898.760646</v>
      </c>
      <c r="Q55" s="5">
        <f t="shared" si="17"/>
        <v>1126.714948</v>
      </c>
      <c r="R55" s="5">
        <f t="shared" si="18"/>
        <v>3772.045697</v>
      </c>
      <c r="S55" s="5">
        <f>IFERROR(__xludf.DUMMYFUNCTION("IF(ISBETWEEN(A55,$B$22,$B$22+$B$19-1),$B$24,0)"),0.0)</f>
        <v>0</v>
      </c>
      <c r="T55" s="5">
        <f t="shared" si="19"/>
        <v>3772.045697</v>
      </c>
      <c r="U55" s="5">
        <f t="shared" si="21"/>
        <v>48377.91836</v>
      </c>
    </row>
    <row r="56">
      <c r="B56" s="3">
        <f>SUM(B31:B55)</f>
        <v>1531136.842</v>
      </c>
      <c r="D56" s="5">
        <f t="shared" ref="D56:I56" si="22">SUM(D31:D55)</f>
        <v>0</v>
      </c>
      <c r="E56" s="5">
        <f t="shared" si="22"/>
        <v>0</v>
      </c>
      <c r="F56" s="5">
        <f t="shared" si="22"/>
        <v>0</v>
      </c>
      <c r="G56" s="5">
        <f t="shared" si="22"/>
        <v>0</v>
      </c>
      <c r="H56" s="11">
        <f t="shared" si="22"/>
        <v>11683.31809</v>
      </c>
      <c r="I56" s="11">
        <f t="shared" si="22"/>
        <v>130146.6315</v>
      </c>
      <c r="K56" s="5">
        <f t="shared" ref="K56:M56" si="23">SUM(K31:K55)</f>
        <v>16356.64533</v>
      </c>
      <c r="L56" s="5">
        <f t="shared" si="23"/>
        <v>16356.64533</v>
      </c>
      <c r="M56" s="9">
        <f t="shared" si="23"/>
        <v>130146.6315</v>
      </c>
      <c r="Q56" s="5">
        <f t="shared" ref="Q56:T56" si="24">SUM(Q31:Q55)</f>
        <v>27246.56209</v>
      </c>
      <c r="R56" s="5">
        <f t="shared" si="24"/>
        <v>102900.0694</v>
      </c>
      <c r="S56" s="16">
        <f t="shared" si="24"/>
        <v>54522.15109</v>
      </c>
      <c r="T56" s="5">
        <f t="shared" si="24"/>
        <v>48377.91836</v>
      </c>
    </row>
    <row r="57">
      <c r="H57" s="6"/>
      <c r="I57" s="6"/>
    </row>
    <row r="58">
      <c r="H58" s="6"/>
      <c r="I58" s="6"/>
    </row>
    <row r="59">
      <c r="H59" s="6"/>
    </row>
    <row r="60">
      <c r="H60" s="6"/>
      <c r="I60" s="6"/>
    </row>
    <row r="61">
      <c r="H61" s="6"/>
      <c r="I61" s="6"/>
    </row>
    <row r="62">
      <c r="H62" s="6"/>
      <c r="I62" s="6"/>
    </row>
    <row r="63">
      <c r="H63" s="6"/>
      <c r="I63" s="6"/>
    </row>
    <row r="64">
      <c r="B64" s="17"/>
      <c r="D64" s="18"/>
      <c r="H64" s="6"/>
      <c r="I64" s="6"/>
    </row>
    <row r="65">
      <c r="H65" s="6"/>
      <c r="I65" s="6"/>
    </row>
    <row r="66">
      <c r="H66" s="6"/>
      <c r="I66" s="6"/>
    </row>
    <row r="67">
      <c r="H67" s="6"/>
      <c r="I67" s="6"/>
    </row>
    <row r="68">
      <c r="H68" s="6"/>
      <c r="I68" s="6"/>
    </row>
    <row r="69">
      <c r="H69" s="6"/>
      <c r="I69" s="6"/>
    </row>
    <row r="70">
      <c r="H70" s="6"/>
      <c r="I70" s="6"/>
    </row>
    <row r="71">
      <c r="H71" s="6"/>
      <c r="I71" s="6"/>
    </row>
    <row r="72">
      <c r="H72" s="6"/>
      <c r="I72" s="6"/>
    </row>
    <row r="73">
      <c r="H73" s="6"/>
      <c r="I73" s="6"/>
    </row>
    <row r="74">
      <c r="H74" s="6"/>
      <c r="I74" s="6"/>
    </row>
    <row r="75">
      <c r="H75" s="6"/>
      <c r="I75" s="6"/>
    </row>
    <row r="76">
      <c r="H76" s="6"/>
      <c r="I76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4" max="4" width="17.38"/>
  </cols>
  <sheetData>
    <row r="2">
      <c r="A2" s="1" t="s">
        <v>0</v>
      </c>
      <c r="B2" s="2">
        <v>0.17</v>
      </c>
      <c r="D2" s="1" t="s">
        <v>1</v>
      </c>
      <c r="E2" s="1">
        <v>0.33</v>
      </c>
    </row>
    <row r="3">
      <c r="A3" s="1" t="s">
        <v>2</v>
      </c>
      <c r="B3" s="1">
        <v>65000.0</v>
      </c>
      <c r="D3" s="1" t="s">
        <v>3</v>
      </c>
      <c r="E3" s="1">
        <v>0.33</v>
      </c>
    </row>
    <row r="4">
      <c r="A4" s="1" t="s">
        <v>4</v>
      </c>
      <c r="B4" s="1">
        <v>8766.0</v>
      </c>
      <c r="D4" s="1" t="s">
        <v>5</v>
      </c>
      <c r="E4" s="3">
        <f>1-E2-E3</f>
        <v>0.34</v>
      </c>
    </row>
    <row r="5">
      <c r="A5" s="1" t="s">
        <v>6</v>
      </c>
      <c r="B5" s="4">
        <f>$B$3/$B$4/$B$2</f>
        <v>43.61772087</v>
      </c>
    </row>
    <row r="6">
      <c r="A6" s="1" t="s">
        <v>7</v>
      </c>
      <c r="B6" s="1">
        <v>2.5</v>
      </c>
    </row>
    <row r="7">
      <c r="A7" s="1" t="s">
        <v>8</v>
      </c>
      <c r="B7" s="5">
        <f>B5*B6*1000</f>
        <v>109044.3022</v>
      </c>
    </row>
    <row r="8">
      <c r="A8" s="1" t="s">
        <v>9</v>
      </c>
      <c r="B8" s="6">
        <v>0.005</v>
      </c>
    </row>
    <row r="9">
      <c r="A9" s="1" t="s">
        <v>10</v>
      </c>
      <c r="B9" s="7">
        <v>0.03</v>
      </c>
    </row>
    <row r="10">
      <c r="A10" s="1" t="s">
        <v>11</v>
      </c>
      <c r="B10" s="6">
        <f t="shared" ref="B10:B12" si="1">$E$11</f>
        <v>0.014</v>
      </c>
      <c r="D10" s="1" t="s">
        <v>12</v>
      </c>
      <c r="E10" s="6">
        <v>0.042</v>
      </c>
    </row>
    <row r="11">
      <c r="A11" s="1" t="s">
        <v>13</v>
      </c>
      <c r="B11" s="6">
        <f t="shared" si="1"/>
        <v>0.014</v>
      </c>
      <c r="D11" s="1" t="s">
        <v>14</v>
      </c>
      <c r="E11" s="8">
        <f>E10/3</f>
        <v>0.014</v>
      </c>
    </row>
    <row r="12">
      <c r="A12" s="1" t="s">
        <v>15</v>
      </c>
      <c r="B12" s="6">
        <f t="shared" si="1"/>
        <v>0.014</v>
      </c>
    </row>
    <row r="13">
      <c r="A13" s="1" t="s">
        <v>16</v>
      </c>
      <c r="B13" s="7">
        <v>0.3</v>
      </c>
    </row>
    <row r="14">
      <c r="A14" s="1" t="s">
        <v>17</v>
      </c>
      <c r="B14" s="7">
        <v>0.5</v>
      </c>
    </row>
    <row r="15">
      <c r="A15" s="1" t="s">
        <v>18</v>
      </c>
      <c r="B15" s="7">
        <v>0.5</v>
      </c>
      <c r="L15" s="1" t="s">
        <v>19</v>
      </c>
      <c r="M15" s="9">
        <f>'Bill Comparison'!F28</f>
        <v>322479.9538</v>
      </c>
    </row>
    <row r="16">
      <c r="A16" s="1" t="s">
        <v>20</v>
      </c>
      <c r="B16" s="5">
        <f>B7*B15</f>
        <v>54522.15109</v>
      </c>
      <c r="L16" s="1" t="s">
        <v>21</v>
      </c>
      <c r="M16" s="9">
        <f>'Bill Comparison'!J28</f>
        <v>49771.69702</v>
      </c>
      <c r="N16" s="1" t="s">
        <v>22</v>
      </c>
      <c r="O16" s="1" t="s">
        <v>23</v>
      </c>
    </row>
    <row r="17">
      <c r="A17" s="1" t="s">
        <v>24</v>
      </c>
      <c r="B17" s="5">
        <f>B7-B16</f>
        <v>54522.15109</v>
      </c>
      <c r="L17" s="1" t="s">
        <v>25</v>
      </c>
      <c r="M17" s="9">
        <f>'Bill Comparison'!L28</f>
        <v>272708.2568</v>
      </c>
      <c r="N17" s="8"/>
      <c r="Q17" s="1"/>
      <c r="R17" s="1" t="s">
        <v>26</v>
      </c>
      <c r="S17" s="8">
        <f>1-(I56+M16)/M15</f>
        <v>0.03849849755</v>
      </c>
    </row>
    <row r="18">
      <c r="A18" s="1" t="s">
        <v>27</v>
      </c>
      <c r="B18" s="7">
        <v>0.04</v>
      </c>
      <c r="L18" s="1" t="s">
        <v>28</v>
      </c>
      <c r="M18" s="9">
        <f>M17-I56</f>
        <v>12414.99371</v>
      </c>
      <c r="N18" s="8">
        <f>M18/M19</f>
        <v>0.06225836951</v>
      </c>
    </row>
    <row r="19" ht="19.5" customHeight="1">
      <c r="A19" s="1" t="s">
        <v>29</v>
      </c>
      <c r="B19" s="1">
        <v>10.0</v>
      </c>
      <c r="L19" s="1" t="s">
        <v>30</v>
      </c>
      <c r="M19" s="9">
        <f>M18+T56+G56</f>
        <v>199410.8392</v>
      </c>
      <c r="N19" s="8"/>
      <c r="R19" s="1" t="s">
        <v>31</v>
      </c>
      <c r="S19" s="8">
        <f>1-(M16+I56-M21)/M15</f>
        <v>0.2425594823</v>
      </c>
    </row>
    <row r="20">
      <c r="A20" s="10"/>
      <c r="B20" s="1"/>
      <c r="C20" s="1"/>
      <c r="D20" s="1"/>
      <c r="E20" s="1"/>
      <c r="F20" s="1"/>
      <c r="G20" s="1"/>
      <c r="H20" s="1"/>
      <c r="I20" s="1"/>
      <c r="L20" s="1" t="s">
        <v>32</v>
      </c>
      <c r="M20" s="9">
        <f>M19*0.33-M18</f>
        <v>53390.58323</v>
      </c>
      <c r="N20" s="6"/>
    </row>
    <row r="21">
      <c r="A21" s="10"/>
      <c r="B21" s="1"/>
      <c r="C21" s="1"/>
      <c r="D21" s="1"/>
      <c r="E21" s="1"/>
      <c r="F21" s="1"/>
      <c r="G21" s="1"/>
      <c r="H21" s="1"/>
      <c r="I21" s="1"/>
      <c r="L21" s="1" t="s">
        <v>33</v>
      </c>
      <c r="M21" s="9">
        <f>M18+M20</f>
        <v>65805.57694</v>
      </c>
      <c r="N21" s="6">
        <f>M21/M19</f>
        <v>0.33</v>
      </c>
      <c r="O21" s="9">
        <f>M21/25</f>
        <v>2632.223077</v>
      </c>
    </row>
    <row r="22">
      <c r="A22" s="10" t="s">
        <v>34</v>
      </c>
      <c r="B22" s="1">
        <v>3.0</v>
      </c>
      <c r="C22" s="1"/>
      <c r="D22" s="1"/>
      <c r="E22" s="1"/>
      <c r="F22" s="1"/>
      <c r="G22" s="1"/>
      <c r="H22" s="1"/>
      <c r="I22" s="1"/>
      <c r="L22" s="1" t="s">
        <v>35</v>
      </c>
      <c r="M22" s="9">
        <f>M19*0.45-G56</f>
        <v>-77243.47387</v>
      </c>
      <c r="N22" s="6"/>
    </row>
    <row r="23">
      <c r="A23" s="10"/>
      <c r="B23" s="11"/>
      <c r="C23" s="1"/>
      <c r="D23" s="1"/>
      <c r="E23" s="1"/>
      <c r="F23" s="1"/>
      <c r="G23" s="1"/>
      <c r="H23" s="1"/>
      <c r="I23" s="1"/>
      <c r="L23" s="1" t="s">
        <v>36</v>
      </c>
      <c r="M23" s="9">
        <f>M22+G56</f>
        <v>89734.87764</v>
      </c>
      <c r="N23" s="8">
        <f>M23/M19</f>
        <v>0.45</v>
      </c>
      <c r="O23" s="9">
        <f t="shared" ref="O23:O24" si="2">M23/25</f>
        <v>3589.395106</v>
      </c>
    </row>
    <row r="24">
      <c r="A24" s="10" t="s">
        <v>37</v>
      </c>
      <c r="B24" s="11">
        <f>B17/B19</f>
        <v>5452.215109</v>
      </c>
      <c r="C24" s="1"/>
      <c r="D24" s="1"/>
      <c r="E24" s="1"/>
      <c r="F24" s="1"/>
      <c r="G24" s="1"/>
      <c r="H24" s="1"/>
      <c r="I24" s="1"/>
      <c r="L24" s="1" t="s">
        <v>5</v>
      </c>
      <c r="M24" s="9">
        <f>M19-M21-M23</f>
        <v>43870.38462</v>
      </c>
      <c r="N24" s="8">
        <f>M24/M19</f>
        <v>0.22</v>
      </c>
      <c r="O24" s="9">
        <f t="shared" si="2"/>
        <v>1754.815385</v>
      </c>
    </row>
    <row r="25">
      <c r="A25" s="10" t="s">
        <v>38</v>
      </c>
      <c r="B25" s="7">
        <v>0.23</v>
      </c>
      <c r="C25" s="1"/>
      <c r="D25" s="1"/>
      <c r="E25" s="1"/>
      <c r="F25" s="1"/>
      <c r="G25" s="1"/>
      <c r="H25" s="1"/>
      <c r="I25" s="1"/>
      <c r="N25" s="8">
        <f>N21+N23+N24</f>
        <v>1</v>
      </c>
    </row>
    <row r="26">
      <c r="A26" s="10" t="s">
        <v>39</v>
      </c>
      <c r="B26" s="7">
        <v>0.3</v>
      </c>
      <c r="C26" s="1"/>
      <c r="D26" s="1"/>
      <c r="E26" s="1"/>
      <c r="F26" s="1"/>
      <c r="G26" s="1"/>
      <c r="H26" s="1"/>
      <c r="I26" s="1"/>
    </row>
    <row r="27">
      <c r="A27" s="10" t="s">
        <v>40</v>
      </c>
      <c r="B27" s="1">
        <f>B26*B17</f>
        <v>16356.64533</v>
      </c>
      <c r="C27" s="1"/>
      <c r="D27" s="1"/>
      <c r="E27" s="1"/>
      <c r="F27" s="1"/>
      <c r="G27" s="1"/>
      <c r="H27" s="1"/>
      <c r="I27" s="1"/>
      <c r="L27" s="1" t="s">
        <v>41</v>
      </c>
      <c r="M27" s="3">
        <f>M19/M17</f>
        <v>0.7312240617</v>
      </c>
    </row>
    <row r="28">
      <c r="A28" s="10" t="s">
        <v>42</v>
      </c>
      <c r="B28" s="1">
        <v>1.0</v>
      </c>
      <c r="C28" s="1"/>
      <c r="D28" s="1"/>
      <c r="E28" s="1"/>
      <c r="F28" s="1"/>
      <c r="G28" s="1"/>
      <c r="H28" s="1"/>
      <c r="I28" s="1"/>
    </row>
    <row r="29">
      <c r="A29" s="12"/>
      <c r="B29" s="1"/>
      <c r="C29" s="1"/>
      <c r="D29" s="1"/>
      <c r="E29" s="1"/>
      <c r="F29" s="1"/>
      <c r="G29" s="1"/>
      <c r="H29" s="1" t="s">
        <v>43</v>
      </c>
      <c r="I29" s="1">
        <v>0.17</v>
      </c>
    </row>
    <row r="30">
      <c r="A30" s="13" t="s">
        <v>44</v>
      </c>
      <c r="B30" s="14" t="s">
        <v>45</v>
      </c>
      <c r="C30" s="14" t="s">
        <v>46</v>
      </c>
      <c r="D30" s="14" t="s">
        <v>47</v>
      </c>
      <c r="E30" s="14" t="s">
        <v>48</v>
      </c>
      <c r="F30" s="14" t="s">
        <v>49</v>
      </c>
      <c r="G30" s="14" t="s">
        <v>50</v>
      </c>
      <c r="H30" s="14" t="s">
        <v>51</v>
      </c>
      <c r="I30" s="14" t="s">
        <v>64</v>
      </c>
      <c r="J30" s="14" t="s">
        <v>53</v>
      </c>
      <c r="K30" s="14" t="s">
        <v>54</v>
      </c>
      <c r="L30" s="14" t="s">
        <v>55</v>
      </c>
      <c r="M30" s="14" t="s">
        <v>56</v>
      </c>
      <c r="N30" s="14" t="s">
        <v>57</v>
      </c>
      <c r="O30" s="14" t="s">
        <v>58</v>
      </c>
      <c r="P30" s="14" t="s">
        <v>59</v>
      </c>
      <c r="Q30" s="14" t="s">
        <v>60</v>
      </c>
      <c r="R30" s="14" t="s">
        <v>61</v>
      </c>
      <c r="S30" s="14" t="s">
        <v>62</v>
      </c>
      <c r="T30" s="14" t="s">
        <v>63</v>
      </c>
    </row>
    <row r="31">
      <c r="A31" s="15">
        <v>0.0</v>
      </c>
      <c r="B31" s="3">
        <f t="shared" ref="B31:B55" si="3">POWER(1-$B$8,A31)*$B$3</f>
        <v>65000</v>
      </c>
      <c r="C31" s="3">
        <f t="shared" ref="C31:C55" si="4">POWER(1+$B$9,A31)</f>
        <v>1</v>
      </c>
      <c r="D31" s="5">
        <f t="shared" ref="D31:D55" si="5">$B$7*C31*$B$10</f>
        <v>1526.620231</v>
      </c>
      <c r="E31" s="5">
        <f t="shared" ref="E31:E55" si="6">$B$7*$C31*$B$11</f>
        <v>1526.620231</v>
      </c>
      <c r="F31" s="5">
        <f t="shared" ref="F31:F55" si="7">$B$7*$C31*$B$12</f>
        <v>1526.620231</v>
      </c>
      <c r="G31" s="5">
        <f t="shared" ref="G31:G55" si="8">SUM(D31:F31)</f>
        <v>4579.860692</v>
      </c>
      <c r="H31" s="5">
        <f t="shared" ref="H31:H55" si="9">IF(A31=0,$B$17*$B$14*$B$13,H30*$B$13)</f>
        <v>8178.322664</v>
      </c>
      <c r="I31" s="5">
        <f t="shared" ref="I31:I55" si="10">$I$29*B31</f>
        <v>11050</v>
      </c>
      <c r="J31" s="5">
        <f t="shared" ref="J31:J55" si="11">MAX(IF(A31&gt;=$B$22,J30-$B$24,$B$17),0)</f>
        <v>54522.15109</v>
      </c>
      <c r="K31" s="5">
        <f t="shared" ref="K31:K55" si="12">IF(A31&gt;=$B$20,J31*$B$18,0)</f>
        <v>2180.886044</v>
      </c>
      <c r="L31" s="5">
        <f t="shared" ref="L31:L55" si="13">IF(A31=$B$28,$B$27,0)</f>
        <v>0</v>
      </c>
      <c r="M31" s="5">
        <f t="shared" ref="M31:M55" si="14">I31-G31-K31+L31</f>
        <v>4289.253265</v>
      </c>
      <c r="N31" s="5">
        <f t="shared" ref="N31:N55" si="15">M31-H31</f>
        <v>-3889.069399</v>
      </c>
      <c r="O31" s="5">
        <f t="shared" ref="O31:O55" si="16">IF(N31&lt;0,N31,0)</f>
        <v>-3889.069399</v>
      </c>
      <c r="P31" s="5">
        <f>N31-O31</f>
        <v>0</v>
      </c>
      <c r="Q31" s="5">
        <f t="shared" ref="Q31:Q55" si="17">$B$25*P31</f>
        <v>0</v>
      </c>
      <c r="R31" s="5">
        <f t="shared" ref="R31:R55" si="18">M31-Q31</f>
        <v>4289.253265</v>
      </c>
      <c r="S31" s="5">
        <f>IFERROR(__xludf.DUMMYFUNCTION("IF(ISBETWEEN(A31,$B$22,$B$22+$B$19-1),$B$24,0)"),0.0)</f>
        <v>0</v>
      </c>
      <c r="T31" s="5">
        <f t="shared" ref="T31:T55" si="19">R31-S31</f>
        <v>4289.253265</v>
      </c>
      <c r="U31" s="5">
        <f>T31</f>
        <v>4289.253265</v>
      </c>
    </row>
    <row r="32">
      <c r="A32" s="15">
        <v>1.0</v>
      </c>
      <c r="B32" s="3">
        <f t="shared" si="3"/>
        <v>64675</v>
      </c>
      <c r="C32" s="3">
        <f t="shared" si="4"/>
        <v>1.03</v>
      </c>
      <c r="D32" s="5">
        <f t="shared" si="5"/>
        <v>1572.418837</v>
      </c>
      <c r="E32" s="5">
        <f t="shared" si="6"/>
        <v>1572.418837</v>
      </c>
      <c r="F32" s="5">
        <f t="shared" si="7"/>
        <v>1572.418837</v>
      </c>
      <c r="G32" s="5">
        <f t="shared" si="8"/>
        <v>4717.256512</v>
      </c>
      <c r="H32" s="5">
        <f t="shared" si="9"/>
        <v>2453.496799</v>
      </c>
      <c r="I32" s="5">
        <f t="shared" si="10"/>
        <v>10994.75</v>
      </c>
      <c r="J32" s="5">
        <f t="shared" si="11"/>
        <v>54522.15109</v>
      </c>
      <c r="K32" s="5">
        <f t="shared" si="12"/>
        <v>2180.886044</v>
      </c>
      <c r="L32" s="5">
        <f t="shared" si="13"/>
        <v>16356.64533</v>
      </c>
      <c r="M32" s="5">
        <f t="shared" si="14"/>
        <v>20453.25277</v>
      </c>
      <c r="N32" s="5">
        <f t="shared" si="15"/>
        <v>17999.75597</v>
      </c>
      <c r="O32" s="5">
        <f t="shared" si="16"/>
        <v>0</v>
      </c>
      <c r="P32" s="5">
        <f t="shared" ref="P32:P55" si="20">IF(N32&gt;0,N32+O31,0)</f>
        <v>14110.68657</v>
      </c>
      <c r="Q32" s="5">
        <f t="shared" si="17"/>
        <v>3245.457912</v>
      </c>
      <c r="R32" s="5">
        <f t="shared" si="18"/>
        <v>17207.79486</v>
      </c>
      <c r="S32" s="5">
        <f>IFERROR(__xludf.DUMMYFUNCTION("IF(ISBETWEEN(A32,$B$22,$B$22+$B$19-1),$B$24,0)"),0.0)</f>
        <v>0</v>
      </c>
      <c r="T32" s="5">
        <f t="shared" si="19"/>
        <v>17207.79486</v>
      </c>
      <c r="U32" s="5">
        <f t="shared" ref="U32:U55" si="21">T32+U31</f>
        <v>21497.04812</v>
      </c>
    </row>
    <row r="33">
      <c r="A33" s="15">
        <v>2.0</v>
      </c>
      <c r="B33" s="3">
        <f t="shared" si="3"/>
        <v>64351.625</v>
      </c>
      <c r="C33" s="3">
        <f t="shared" si="4"/>
        <v>1.0609</v>
      </c>
      <c r="D33" s="5">
        <f t="shared" si="5"/>
        <v>1619.591403</v>
      </c>
      <c r="E33" s="5">
        <f t="shared" si="6"/>
        <v>1619.591403</v>
      </c>
      <c r="F33" s="5">
        <f t="shared" si="7"/>
        <v>1619.591403</v>
      </c>
      <c r="G33" s="5">
        <f t="shared" si="8"/>
        <v>4858.774208</v>
      </c>
      <c r="H33" s="5">
        <f t="shared" si="9"/>
        <v>736.0490397</v>
      </c>
      <c r="I33" s="5">
        <f t="shared" si="10"/>
        <v>10939.77625</v>
      </c>
      <c r="J33" s="5">
        <f t="shared" si="11"/>
        <v>54522.15109</v>
      </c>
      <c r="K33" s="5">
        <f t="shared" si="12"/>
        <v>2180.886044</v>
      </c>
      <c r="L33" s="5">
        <f t="shared" si="13"/>
        <v>0</v>
      </c>
      <c r="M33" s="5">
        <f t="shared" si="14"/>
        <v>3900.115998</v>
      </c>
      <c r="N33" s="5">
        <f t="shared" si="15"/>
        <v>3164.066959</v>
      </c>
      <c r="O33" s="5">
        <f t="shared" si="16"/>
        <v>0</v>
      </c>
      <c r="P33" s="5">
        <f t="shared" si="20"/>
        <v>3164.066959</v>
      </c>
      <c r="Q33" s="5">
        <f t="shared" si="17"/>
        <v>727.7354005</v>
      </c>
      <c r="R33" s="5">
        <f t="shared" si="18"/>
        <v>3172.380598</v>
      </c>
      <c r="S33" s="5">
        <f>IFERROR(__xludf.DUMMYFUNCTION("IF(ISBETWEEN(A33,$B$22,$B$22+$B$19-1),$B$24,0)"),0.0)</f>
        <v>0</v>
      </c>
      <c r="T33" s="5">
        <f t="shared" si="19"/>
        <v>3172.380598</v>
      </c>
      <c r="U33" s="5">
        <f t="shared" si="21"/>
        <v>24669.42872</v>
      </c>
    </row>
    <row r="34">
      <c r="A34" s="15">
        <v>3.0</v>
      </c>
      <c r="B34" s="3">
        <f t="shared" si="3"/>
        <v>64029.86688</v>
      </c>
      <c r="C34" s="3">
        <f t="shared" si="4"/>
        <v>1.092727</v>
      </c>
      <c r="D34" s="5">
        <f t="shared" si="5"/>
        <v>1668.179145</v>
      </c>
      <c r="E34" s="5">
        <f t="shared" si="6"/>
        <v>1668.179145</v>
      </c>
      <c r="F34" s="5">
        <f t="shared" si="7"/>
        <v>1668.179145</v>
      </c>
      <c r="G34" s="5">
        <f t="shared" si="8"/>
        <v>5004.537434</v>
      </c>
      <c r="H34" s="5">
        <f t="shared" si="9"/>
        <v>220.8147119</v>
      </c>
      <c r="I34" s="5">
        <f t="shared" si="10"/>
        <v>10885.07737</v>
      </c>
      <c r="J34" s="5">
        <f t="shared" si="11"/>
        <v>49069.93598</v>
      </c>
      <c r="K34" s="5">
        <f t="shared" si="12"/>
        <v>1962.797439</v>
      </c>
      <c r="L34" s="5">
        <f t="shared" si="13"/>
        <v>0</v>
      </c>
      <c r="M34" s="5">
        <f t="shared" si="14"/>
        <v>3917.742495</v>
      </c>
      <c r="N34" s="5">
        <f t="shared" si="15"/>
        <v>3696.927783</v>
      </c>
      <c r="O34" s="5">
        <f t="shared" si="16"/>
        <v>0</v>
      </c>
      <c r="P34" s="5">
        <f t="shared" si="20"/>
        <v>3696.927783</v>
      </c>
      <c r="Q34" s="5">
        <f t="shared" si="17"/>
        <v>850.2933902</v>
      </c>
      <c r="R34" s="5">
        <f t="shared" si="18"/>
        <v>3067.449105</v>
      </c>
      <c r="S34" s="5">
        <f>IFERROR(__xludf.DUMMYFUNCTION("IF(ISBETWEEN(A34,$B$22,$B$22+$B$19-1),$B$24,0)"),5452.215109178511)</f>
        <v>5452.215109</v>
      </c>
      <c r="T34" s="5">
        <f t="shared" si="19"/>
        <v>-2384.766004</v>
      </c>
      <c r="U34" s="5">
        <f t="shared" si="21"/>
        <v>22284.66272</v>
      </c>
    </row>
    <row r="35">
      <c r="A35" s="15">
        <v>4.0</v>
      </c>
      <c r="B35" s="3">
        <f t="shared" si="3"/>
        <v>63709.71754</v>
      </c>
      <c r="C35" s="3">
        <f t="shared" si="4"/>
        <v>1.12550881</v>
      </c>
      <c r="D35" s="5">
        <f t="shared" si="5"/>
        <v>1718.224519</v>
      </c>
      <c r="E35" s="5">
        <f t="shared" si="6"/>
        <v>1718.224519</v>
      </c>
      <c r="F35" s="5">
        <f t="shared" si="7"/>
        <v>1718.224519</v>
      </c>
      <c r="G35" s="5">
        <f t="shared" si="8"/>
        <v>5154.673557</v>
      </c>
      <c r="H35" s="5">
        <f t="shared" si="9"/>
        <v>66.24441358</v>
      </c>
      <c r="I35" s="5">
        <f t="shared" si="10"/>
        <v>10830.65198</v>
      </c>
      <c r="J35" s="5">
        <f t="shared" si="11"/>
        <v>43617.72087</v>
      </c>
      <c r="K35" s="5">
        <f t="shared" si="12"/>
        <v>1744.708835</v>
      </c>
      <c r="L35" s="5">
        <f t="shared" si="13"/>
        <v>0</v>
      </c>
      <c r="M35" s="5">
        <f t="shared" si="14"/>
        <v>3931.26959</v>
      </c>
      <c r="N35" s="5">
        <f t="shared" si="15"/>
        <v>3865.025176</v>
      </c>
      <c r="O35" s="5">
        <f t="shared" si="16"/>
        <v>0</v>
      </c>
      <c r="P35" s="5">
        <f t="shared" si="20"/>
        <v>3865.025176</v>
      </c>
      <c r="Q35" s="5">
        <f t="shared" si="17"/>
        <v>888.9557905</v>
      </c>
      <c r="R35" s="5">
        <f t="shared" si="18"/>
        <v>3042.313799</v>
      </c>
      <c r="S35" s="5">
        <f>IFERROR(__xludf.DUMMYFUNCTION("IF(ISBETWEEN(A35,$B$22,$B$22+$B$19-1),$B$24,0)"),5452.215109178511)</f>
        <v>5452.215109</v>
      </c>
      <c r="T35" s="5">
        <f t="shared" si="19"/>
        <v>-2409.90131</v>
      </c>
      <c r="U35" s="5">
        <f t="shared" si="21"/>
        <v>19874.76141</v>
      </c>
    </row>
    <row r="36">
      <c r="A36" s="15">
        <v>5.0</v>
      </c>
      <c r="B36" s="3">
        <f t="shared" si="3"/>
        <v>63391.16895</v>
      </c>
      <c r="C36" s="3">
        <f t="shared" si="4"/>
        <v>1.159274074</v>
      </c>
      <c r="D36" s="5">
        <f t="shared" si="5"/>
        <v>1769.771255</v>
      </c>
      <c r="E36" s="5">
        <f t="shared" si="6"/>
        <v>1769.771255</v>
      </c>
      <c r="F36" s="5">
        <f t="shared" si="7"/>
        <v>1769.771255</v>
      </c>
      <c r="G36" s="5">
        <f t="shared" si="8"/>
        <v>5309.313764</v>
      </c>
      <c r="H36" s="5">
        <f t="shared" si="9"/>
        <v>19.87332407</v>
      </c>
      <c r="I36" s="5">
        <f t="shared" si="10"/>
        <v>10776.49872</v>
      </c>
      <c r="J36" s="5">
        <f t="shared" si="11"/>
        <v>38165.50576</v>
      </c>
      <c r="K36" s="5">
        <f t="shared" si="12"/>
        <v>1526.620231</v>
      </c>
      <c r="L36" s="5">
        <f t="shared" si="13"/>
        <v>0</v>
      </c>
      <c r="M36" s="5">
        <f t="shared" si="14"/>
        <v>3940.564728</v>
      </c>
      <c r="N36" s="5">
        <f t="shared" si="15"/>
        <v>3920.691404</v>
      </c>
      <c r="O36" s="5">
        <f t="shared" si="16"/>
        <v>0</v>
      </c>
      <c r="P36" s="5">
        <f t="shared" si="20"/>
        <v>3920.691404</v>
      </c>
      <c r="Q36" s="5">
        <f t="shared" si="17"/>
        <v>901.7590228</v>
      </c>
      <c r="R36" s="5">
        <f t="shared" si="18"/>
        <v>3038.805705</v>
      </c>
      <c r="S36" s="5">
        <f>IFERROR(__xludf.DUMMYFUNCTION("IF(ISBETWEEN(A36,$B$22,$B$22+$B$19-1),$B$24,0)"),5452.215109178511)</f>
        <v>5452.215109</v>
      </c>
      <c r="T36" s="5">
        <f t="shared" si="19"/>
        <v>-2413.409404</v>
      </c>
      <c r="U36" s="5">
        <f t="shared" si="21"/>
        <v>17461.352</v>
      </c>
    </row>
    <row r="37">
      <c r="A37" s="15">
        <v>6.0</v>
      </c>
      <c r="B37" s="3">
        <f t="shared" si="3"/>
        <v>63074.21311</v>
      </c>
      <c r="C37" s="3">
        <f t="shared" si="4"/>
        <v>1.194052297</v>
      </c>
      <c r="D37" s="5">
        <f t="shared" si="5"/>
        <v>1822.864392</v>
      </c>
      <c r="E37" s="5">
        <f t="shared" si="6"/>
        <v>1822.864392</v>
      </c>
      <c r="F37" s="5">
        <f t="shared" si="7"/>
        <v>1822.864392</v>
      </c>
      <c r="G37" s="5">
        <f t="shared" si="8"/>
        <v>5468.593177</v>
      </c>
      <c r="H37" s="5">
        <f t="shared" si="9"/>
        <v>5.961997222</v>
      </c>
      <c r="I37" s="5">
        <f t="shared" si="10"/>
        <v>10722.61623</v>
      </c>
      <c r="J37" s="5">
        <f t="shared" si="11"/>
        <v>32713.29066</v>
      </c>
      <c r="K37" s="5">
        <f t="shared" si="12"/>
        <v>1308.531626</v>
      </c>
      <c r="L37" s="5">
        <f t="shared" si="13"/>
        <v>0</v>
      </c>
      <c r="M37" s="5">
        <f t="shared" si="14"/>
        <v>3945.491425</v>
      </c>
      <c r="N37" s="5">
        <f t="shared" si="15"/>
        <v>3939.529428</v>
      </c>
      <c r="O37" s="5">
        <f t="shared" si="16"/>
        <v>0</v>
      </c>
      <c r="P37" s="5">
        <f t="shared" si="20"/>
        <v>3939.529428</v>
      </c>
      <c r="Q37" s="5">
        <f t="shared" si="17"/>
        <v>906.0917685</v>
      </c>
      <c r="R37" s="5">
        <f t="shared" si="18"/>
        <v>3039.399657</v>
      </c>
      <c r="S37" s="5">
        <f>IFERROR(__xludf.DUMMYFUNCTION("IF(ISBETWEEN(A37,$B$22,$B$22+$B$19-1),$B$24,0)"),5452.215109178511)</f>
        <v>5452.215109</v>
      </c>
      <c r="T37" s="5">
        <f t="shared" si="19"/>
        <v>-2412.815452</v>
      </c>
      <c r="U37" s="5">
        <f t="shared" si="21"/>
        <v>15048.53655</v>
      </c>
    </row>
    <row r="38">
      <c r="A38" s="15">
        <v>7.0</v>
      </c>
      <c r="B38" s="3">
        <f t="shared" si="3"/>
        <v>62758.84204</v>
      </c>
      <c r="C38" s="3">
        <f t="shared" si="4"/>
        <v>1.229873865</v>
      </c>
      <c r="D38" s="5">
        <f t="shared" si="5"/>
        <v>1877.550324</v>
      </c>
      <c r="E38" s="5">
        <f t="shared" si="6"/>
        <v>1877.550324</v>
      </c>
      <c r="F38" s="5">
        <f t="shared" si="7"/>
        <v>1877.550324</v>
      </c>
      <c r="G38" s="5">
        <f t="shared" si="8"/>
        <v>5632.650972</v>
      </c>
      <c r="H38" s="5">
        <f t="shared" si="9"/>
        <v>1.788599167</v>
      </c>
      <c r="I38" s="5">
        <f t="shared" si="10"/>
        <v>10669.00315</v>
      </c>
      <c r="J38" s="5">
        <f t="shared" si="11"/>
        <v>27261.07555</v>
      </c>
      <c r="K38" s="5">
        <f t="shared" si="12"/>
        <v>1090.443022</v>
      </c>
      <c r="L38" s="5">
        <f t="shared" si="13"/>
        <v>0</v>
      </c>
      <c r="M38" s="5">
        <f t="shared" si="14"/>
        <v>3945.909153</v>
      </c>
      <c r="N38" s="5">
        <f t="shared" si="15"/>
        <v>3944.120554</v>
      </c>
      <c r="O38" s="5">
        <f t="shared" si="16"/>
        <v>0</v>
      </c>
      <c r="P38" s="5">
        <f t="shared" si="20"/>
        <v>3944.120554</v>
      </c>
      <c r="Q38" s="5">
        <f t="shared" si="17"/>
        <v>907.1477275</v>
      </c>
      <c r="R38" s="5">
        <f t="shared" si="18"/>
        <v>3038.761426</v>
      </c>
      <c r="S38" s="5">
        <f>IFERROR(__xludf.DUMMYFUNCTION("IF(ISBETWEEN(A38,$B$22,$B$22+$B$19-1),$B$24,0)"),5452.215109178511)</f>
        <v>5452.215109</v>
      </c>
      <c r="T38" s="5">
        <f t="shared" si="19"/>
        <v>-2413.453683</v>
      </c>
      <c r="U38" s="5">
        <f t="shared" si="21"/>
        <v>12635.08287</v>
      </c>
    </row>
    <row r="39">
      <c r="A39" s="15">
        <v>8.0</v>
      </c>
      <c r="B39" s="3">
        <f t="shared" si="3"/>
        <v>62445.04783</v>
      </c>
      <c r="C39" s="3">
        <f t="shared" si="4"/>
        <v>1.266770081</v>
      </c>
      <c r="D39" s="5">
        <f t="shared" si="5"/>
        <v>1933.876834</v>
      </c>
      <c r="E39" s="5">
        <f t="shared" si="6"/>
        <v>1933.876834</v>
      </c>
      <c r="F39" s="5">
        <f t="shared" si="7"/>
        <v>1933.876834</v>
      </c>
      <c r="G39" s="5">
        <f t="shared" si="8"/>
        <v>5801.630501</v>
      </c>
      <c r="H39" s="5">
        <f t="shared" si="9"/>
        <v>0.53657975</v>
      </c>
      <c r="I39" s="5">
        <f t="shared" si="10"/>
        <v>10615.65813</v>
      </c>
      <c r="J39" s="5">
        <f t="shared" si="11"/>
        <v>21808.86044</v>
      </c>
      <c r="K39" s="5">
        <f t="shared" si="12"/>
        <v>872.3544175</v>
      </c>
      <c r="L39" s="5">
        <f t="shared" si="13"/>
        <v>0</v>
      </c>
      <c r="M39" s="5">
        <f t="shared" si="14"/>
        <v>3941.673213</v>
      </c>
      <c r="N39" s="5">
        <f t="shared" si="15"/>
        <v>3941.136633</v>
      </c>
      <c r="O39" s="5">
        <f t="shared" si="16"/>
        <v>0</v>
      </c>
      <c r="P39" s="5">
        <f t="shared" si="20"/>
        <v>3941.136633</v>
      </c>
      <c r="Q39" s="5">
        <f t="shared" si="17"/>
        <v>906.4614256</v>
      </c>
      <c r="R39" s="5">
        <f t="shared" si="18"/>
        <v>3035.211787</v>
      </c>
      <c r="S39" s="5">
        <f>IFERROR(__xludf.DUMMYFUNCTION("IF(ISBETWEEN(A39,$B$22,$B$22+$B$19-1),$B$24,0)"),5452.215109178511)</f>
        <v>5452.215109</v>
      </c>
      <c r="T39" s="5">
        <f t="shared" si="19"/>
        <v>-2417.003322</v>
      </c>
      <c r="U39" s="5">
        <f t="shared" si="21"/>
        <v>10218.07955</v>
      </c>
    </row>
    <row r="40">
      <c r="A40" s="15">
        <v>9.0</v>
      </c>
      <c r="B40" s="3">
        <f t="shared" si="3"/>
        <v>62132.82259</v>
      </c>
      <c r="C40" s="3">
        <f t="shared" si="4"/>
        <v>1.304773184</v>
      </c>
      <c r="D40" s="5">
        <f t="shared" si="5"/>
        <v>1991.893139</v>
      </c>
      <c r="E40" s="5">
        <f t="shared" si="6"/>
        <v>1991.893139</v>
      </c>
      <c r="F40" s="5">
        <f t="shared" si="7"/>
        <v>1991.893139</v>
      </c>
      <c r="G40" s="5">
        <f t="shared" si="8"/>
        <v>5975.679416</v>
      </c>
      <c r="H40" s="5">
        <f t="shared" si="9"/>
        <v>0.160973925</v>
      </c>
      <c r="I40" s="5">
        <f t="shared" si="10"/>
        <v>10562.57984</v>
      </c>
      <c r="J40" s="5">
        <f t="shared" si="11"/>
        <v>16356.64533</v>
      </c>
      <c r="K40" s="5">
        <f t="shared" si="12"/>
        <v>654.2658131</v>
      </c>
      <c r="L40" s="5">
        <f t="shared" si="13"/>
        <v>0</v>
      </c>
      <c r="M40" s="5">
        <f t="shared" si="14"/>
        <v>3932.634612</v>
      </c>
      <c r="N40" s="5">
        <f t="shared" si="15"/>
        <v>3932.473638</v>
      </c>
      <c r="O40" s="5">
        <f t="shared" si="16"/>
        <v>0</v>
      </c>
      <c r="P40" s="5">
        <f t="shared" si="20"/>
        <v>3932.473638</v>
      </c>
      <c r="Q40" s="5">
        <f t="shared" si="17"/>
        <v>904.4689366</v>
      </c>
      <c r="R40" s="5">
        <f t="shared" si="18"/>
        <v>3028.165675</v>
      </c>
      <c r="S40" s="5">
        <f>IFERROR(__xludf.DUMMYFUNCTION("IF(ISBETWEEN(A40,$B$22,$B$22+$B$19-1),$B$24,0)"),5452.215109178511)</f>
        <v>5452.215109</v>
      </c>
      <c r="T40" s="5">
        <f t="shared" si="19"/>
        <v>-2424.049434</v>
      </c>
      <c r="U40" s="5">
        <f t="shared" si="21"/>
        <v>7794.030112</v>
      </c>
    </row>
    <row r="41">
      <c r="A41" s="15">
        <v>10.0</v>
      </c>
      <c r="B41" s="3">
        <f t="shared" si="3"/>
        <v>61822.15848</v>
      </c>
      <c r="C41" s="3">
        <f t="shared" si="4"/>
        <v>1.343916379</v>
      </c>
      <c r="D41" s="5">
        <f t="shared" si="5"/>
        <v>2051.649933</v>
      </c>
      <c r="E41" s="5">
        <f t="shared" si="6"/>
        <v>2051.649933</v>
      </c>
      <c r="F41" s="5">
        <f t="shared" si="7"/>
        <v>2051.649933</v>
      </c>
      <c r="G41" s="5">
        <f t="shared" si="8"/>
        <v>6154.949799</v>
      </c>
      <c r="H41" s="5">
        <f t="shared" si="9"/>
        <v>0.0482921775</v>
      </c>
      <c r="I41" s="5">
        <f t="shared" si="10"/>
        <v>10509.76694</v>
      </c>
      <c r="J41" s="5">
        <f t="shared" si="11"/>
        <v>10904.43022</v>
      </c>
      <c r="K41" s="5">
        <f t="shared" si="12"/>
        <v>436.1772087</v>
      </c>
      <c r="L41" s="5">
        <f t="shared" si="13"/>
        <v>0</v>
      </c>
      <c r="M41" s="5">
        <f t="shared" si="14"/>
        <v>3918.639934</v>
      </c>
      <c r="N41" s="5">
        <f t="shared" si="15"/>
        <v>3918.591642</v>
      </c>
      <c r="O41" s="5">
        <f t="shared" si="16"/>
        <v>0</v>
      </c>
      <c r="P41" s="5">
        <f t="shared" si="20"/>
        <v>3918.591642</v>
      </c>
      <c r="Q41" s="5">
        <f t="shared" si="17"/>
        <v>901.2760777</v>
      </c>
      <c r="R41" s="5">
        <f t="shared" si="18"/>
        <v>3017.363857</v>
      </c>
      <c r="S41" s="5">
        <f>IFERROR(__xludf.DUMMYFUNCTION("IF(ISBETWEEN(A41,$B$22,$B$22+$B$19-1),$B$24,0)"),5452.215109178511)</f>
        <v>5452.215109</v>
      </c>
      <c r="T41" s="5">
        <f t="shared" si="19"/>
        <v>-2434.851253</v>
      </c>
      <c r="U41" s="5">
        <f t="shared" si="21"/>
        <v>5359.17886</v>
      </c>
    </row>
    <row r="42">
      <c r="A42" s="15">
        <v>11.0</v>
      </c>
      <c r="B42" s="3">
        <f t="shared" si="3"/>
        <v>61513.04769</v>
      </c>
      <c r="C42" s="3">
        <f t="shared" si="4"/>
        <v>1.384233871</v>
      </c>
      <c r="D42" s="5">
        <f t="shared" si="5"/>
        <v>2113.199431</v>
      </c>
      <c r="E42" s="5">
        <f t="shared" si="6"/>
        <v>2113.199431</v>
      </c>
      <c r="F42" s="5">
        <f t="shared" si="7"/>
        <v>2113.199431</v>
      </c>
      <c r="G42" s="5">
        <f t="shared" si="8"/>
        <v>6339.598293</v>
      </c>
      <c r="H42" s="5">
        <f t="shared" si="9"/>
        <v>0.01448765325</v>
      </c>
      <c r="I42" s="5">
        <f t="shared" si="10"/>
        <v>10457.21811</v>
      </c>
      <c r="J42" s="5">
        <f t="shared" si="11"/>
        <v>5452.215109</v>
      </c>
      <c r="K42" s="5">
        <f t="shared" si="12"/>
        <v>218.0886044</v>
      </c>
      <c r="L42" s="5">
        <f t="shared" si="13"/>
        <v>0</v>
      </c>
      <c r="M42" s="5">
        <f t="shared" si="14"/>
        <v>3899.53121</v>
      </c>
      <c r="N42" s="5">
        <f t="shared" si="15"/>
        <v>3899.516722</v>
      </c>
      <c r="O42" s="5">
        <f t="shared" si="16"/>
        <v>0</v>
      </c>
      <c r="P42" s="5">
        <f t="shared" si="20"/>
        <v>3899.516722</v>
      </c>
      <c r="Q42" s="5">
        <f t="shared" si="17"/>
        <v>896.8888461</v>
      </c>
      <c r="R42" s="5">
        <f t="shared" si="18"/>
        <v>3002.642364</v>
      </c>
      <c r="S42" s="5">
        <f>IFERROR(__xludf.DUMMYFUNCTION("IF(ISBETWEEN(A42,$B$22,$B$22+$B$19-1),$B$24,0)"),5452.215109178511)</f>
        <v>5452.215109</v>
      </c>
      <c r="T42" s="5">
        <f t="shared" si="19"/>
        <v>-2449.572745</v>
      </c>
      <c r="U42" s="5">
        <f t="shared" si="21"/>
        <v>2909.606114</v>
      </c>
    </row>
    <row r="43">
      <c r="A43" s="15">
        <v>12.0</v>
      </c>
      <c r="B43" s="3">
        <f t="shared" si="3"/>
        <v>61205.48245</v>
      </c>
      <c r="C43" s="3">
        <f t="shared" si="4"/>
        <v>1.425760887</v>
      </c>
      <c r="D43" s="5">
        <f t="shared" si="5"/>
        <v>2176.595414</v>
      </c>
      <c r="E43" s="5">
        <f t="shared" si="6"/>
        <v>2176.595414</v>
      </c>
      <c r="F43" s="5">
        <f t="shared" si="7"/>
        <v>2176.595414</v>
      </c>
      <c r="G43" s="5">
        <f t="shared" si="8"/>
        <v>6529.786241</v>
      </c>
      <c r="H43" s="5">
        <f t="shared" si="9"/>
        <v>0.004346295975</v>
      </c>
      <c r="I43" s="5">
        <f t="shared" si="10"/>
        <v>10404.93202</v>
      </c>
      <c r="J43" s="5">
        <f t="shared" si="11"/>
        <v>0</v>
      </c>
      <c r="K43" s="5">
        <f t="shared" si="12"/>
        <v>0</v>
      </c>
      <c r="L43" s="5">
        <f t="shared" si="13"/>
        <v>0</v>
      </c>
      <c r="M43" s="5">
        <f t="shared" si="14"/>
        <v>3875.145775</v>
      </c>
      <c r="N43" s="5">
        <f t="shared" si="15"/>
        <v>3875.141429</v>
      </c>
      <c r="O43" s="5">
        <f t="shared" si="16"/>
        <v>0</v>
      </c>
      <c r="P43" s="5">
        <f t="shared" si="20"/>
        <v>3875.141429</v>
      </c>
      <c r="Q43" s="5">
        <f t="shared" si="17"/>
        <v>891.2825286</v>
      </c>
      <c r="R43" s="5">
        <f t="shared" si="18"/>
        <v>2983.863246</v>
      </c>
      <c r="S43" s="5">
        <f>IFERROR(__xludf.DUMMYFUNCTION("IF(ISBETWEEN(A43,$B$22,$B$22+$B$19-1),$B$24,0)"),5452.215109178511)</f>
        <v>5452.215109</v>
      </c>
      <c r="T43" s="5">
        <f t="shared" si="19"/>
        <v>-2468.351863</v>
      </c>
      <c r="U43" s="5">
        <f t="shared" si="21"/>
        <v>441.2542514</v>
      </c>
    </row>
    <row r="44">
      <c r="A44" s="15">
        <v>13.0</v>
      </c>
      <c r="B44" s="3">
        <f t="shared" si="3"/>
        <v>60899.45504</v>
      </c>
      <c r="C44" s="3">
        <f t="shared" si="4"/>
        <v>1.468533713</v>
      </c>
      <c r="D44" s="5">
        <f t="shared" si="5"/>
        <v>2241.893276</v>
      </c>
      <c r="E44" s="5">
        <f t="shared" si="6"/>
        <v>2241.893276</v>
      </c>
      <c r="F44" s="5">
        <f t="shared" si="7"/>
        <v>2241.893276</v>
      </c>
      <c r="G44" s="5">
        <f t="shared" si="8"/>
        <v>6725.679829</v>
      </c>
      <c r="H44" s="5">
        <f t="shared" si="9"/>
        <v>0.001303888792</v>
      </c>
      <c r="I44" s="5">
        <f t="shared" si="10"/>
        <v>10352.90736</v>
      </c>
      <c r="J44" s="5">
        <f t="shared" si="11"/>
        <v>0</v>
      </c>
      <c r="K44" s="5">
        <f t="shared" si="12"/>
        <v>0</v>
      </c>
      <c r="L44" s="5">
        <f t="shared" si="13"/>
        <v>0</v>
      </c>
      <c r="M44" s="5">
        <f t="shared" si="14"/>
        <v>3627.227528</v>
      </c>
      <c r="N44" s="5">
        <f t="shared" si="15"/>
        <v>3627.226224</v>
      </c>
      <c r="O44" s="5">
        <f t="shared" si="16"/>
        <v>0</v>
      </c>
      <c r="P44" s="5">
        <f t="shared" si="20"/>
        <v>3627.226224</v>
      </c>
      <c r="Q44" s="5">
        <f t="shared" si="17"/>
        <v>834.2620315</v>
      </c>
      <c r="R44" s="5">
        <f t="shared" si="18"/>
        <v>2792.965496</v>
      </c>
      <c r="S44" s="5">
        <f>IFERROR(__xludf.DUMMYFUNCTION("IF(ISBETWEEN(A44,$B$22,$B$22+$B$19-1),$B$24,0)"),0.0)</f>
        <v>0</v>
      </c>
      <c r="T44" s="5">
        <f t="shared" si="19"/>
        <v>2792.965496</v>
      </c>
      <c r="U44" s="5">
        <f t="shared" si="21"/>
        <v>3234.219748</v>
      </c>
    </row>
    <row r="45">
      <c r="A45" s="15">
        <v>14.0</v>
      </c>
      <c r="B45" s="3">
        <f t="shared" si="3"/>
        <v>60594.95776</v>
      </c>
      <c r="C45" s="3">
        <f t="shared" si="4"/>
        <v>1.512589725</v>
      </c>
      <c r="D45" s="5">
        <f t="shared" si="5"/>
        <v>2309.150075</v>
      </c>
      <c r="E45" s="5">
        <f t="shared" si="6"/>
        <v>2309.150075</v>
      </c>
      <c r="F45" s="5">
        <f t="shared" si="7"/>
        <v>2309.150075</v>
      </c>
      <c r="G45" s="5">
        <f t="shared" si="8"/>
        <v>6927.450224</v>
      </c>
      <c r="H45" s="5">
        <f t="shared" si="9"/>
        <v>0.0003911666377</v>
      </c>
      <c r="I45" s="5">
        <f t="shared" si="10"/>
        <v>10301.14282</v>
      </c>
      <c r="J45" s="5">
        <f t="shared" si="11"/>
        <v>0</v>
      </c>
      <c r="K45" s="5">
        <f t="shared" si="12"/>
        <v>0</v>
      </c>
      <c r="L45" s="5">
        <f t="shared" si="13"/>
        <v>0</v>
      </c>
      <c r="M45" s="5">
        <f t="shared" si="14"/>
        <v>3373.692596</v>
      </c>
      <c r="N45" s="5">
        <f t="shared" si="15"/>
        <v>3373.692205</v>
      </c>
      <c r="O45" s="5">
        <f t="shared" si="16"/>
        <v>0</v>
      </c>
      <c r="P45" s="5">
        <f t="shared" si="20"/>
        <v>3373.692205</v>
      </c>
      <c r="Q45" s="5">
        <f t="shared" si="17"/>
        <v>775.9492071</v>
      </c>
      <c r="R45" s="5">
        <f t="shared" si="18"/>
        <v>2597.743389</v>
      </c>
      <c r="S45" s="5">
        <f>IFERROR(__xludf.DUMMYFUNCTION("IF(ISBETWEEN(A45,$B$22,$B$22+$B$19-1),$B$24,0)"),0.0)</f>
        <v>0</v>
      </c>
      <c r="T45" s="5">
        <f t="shared" si="19"/>
        <v>2597.743389</v>
      </c>
      <c r="U45" s="5">
        <f t="shared" si="21"/>
        <v>5831.963136</v>
      </c>
    </row>
    <row r="46">
      <c r="A46" s="15">
        <v>15.0</v>
      </c>
      <c r="B46" s="3">
        <f t="shared" si="3"/>
        <v>60291.98297</v>
      </c>
      <c r="C46" s="3">
        <f t="shared" si="4"/>
        <v>1.557967417</v>
      </c>
      <c r="D46" s="5">
        <f t="shared" si="5"/>
        <v>2378.424577</v>
      </c>
      <c r="E46" s="5">
        <f t="shared" si="6"/>
        <v>2378.424577</v>
      </c>
      <c r="F46" s="5">
        <f t="shared" si="7"/>
        <v>2378.424577</v>
      </c>
      <c r="G46" s="5">
        <f t="shared" si="8"/>
        <v>7135.27373</v>
      </c>
      <c r="H46" s="5">
        <f t="shared" si="9"/>
        <v>0.0001173499913</v>
      </c>
      <c r="I46" s="5">
        <f t="shared" si="10"/>
        <v>10249.63711</v>
      </c>
      <c r="J46" s="5">
        <f t="shared" si="11"/>
        <v>0</v>
      </c>
      <c r="K46" s="5">
        <f t="shared" si="12"/>
        <v>0</v>
      </c>
      <c r="L46" s="5">
        <f t="shared" si="13"/>
        <v>0</v>
      </c>
      <c r="M46" s="5">
        <f t="shared" si="14"/>
        <v>3114.363375</v>
      </c>
      <c r="N46" s="5">
        <f t="shared" si="15"/>
        <v>3114.363258</v>
      </c>
      <c r="O46" s="5">
        <f t="shared" si="16"/>
        <v>0</v>
      </c>
      <c r="P46" s="5">
        <f t="shared" si="20"/>
        <v>3114.363258</v>
      </c>
      <c r="Q46" s="5">
        <f t="shared" si="17"/>
        <v>716.3035493</v>
      </c>
      <c r="R46" s="5">
        <f t="shared" si="18"/>
        <v>2398.059826</v>
      </c>
      <c r="S46" s="5">
        <f>IFERROR(__xludf.DUMMYFUNCTION("IF(ISBETWEEN(A46,$B$22,$B$22+$B$19-1),$B$24,0)"),0.0)</f>
        <v>0</v>
      </c>
      <c r="T46" s="5">
        <f t="shared" si="19"/>
        <v>2398.059826</v>
      </c>
      <c r="U46" s="5">
        <f t="shared" si="21"/>
        <v>8230.022962</v>
      </c>
    </row>
    <row r="47">
      <c r="A47" s="15">
        <v>16.0</v>
      </c>
      <c r="B47" s="3">
        <f t="shared" si="3"/>
        <v>59990.52306</v>
      </c>
      <c r="C47" s="3">
        <f t="shared" si="4"/>
        <v>1.604706439</v>
      </c>
      <c r="D47" s="5">
        <f t="shared" si="5"/>
        <v>2449.777314</v>
      </c>
      <c r="E47" s="5">
        <f t="shared" si="6"/>
        <v>2449.777314</v>
      </c>
      <c r="F47" s="5">
        <f t="shared" si="7"/>
        <v>2449.777314</v>
      </c>
      <c r="G47" s="5">
        <f t="shared" si="8"/>
        <v>7349.331942</v>
      </c>
      <c r="H47" s="5">
        <f t="shared" si="9"/>
        <v>0.0000352049974</v>
      </c>
      <c r="I47" s="5">
        <f t="shared" si="10"/>
        <v>10198.38892</v>
      </c>
      <c r="J47" s="5">
        <f t="shared" si="11"/>
        <v>0</v>
      </c>
      <c r="K47" s="5">
        <f t="shared" si="12"/>
        <v>0</v>
      </c>
      <c r="L47" s="5">
        <f t="shared" si="13"/>
        <v>0</v>
      </c>
      <c r="M47" s="5">
        <f t="shared" si="14"/>
        <v>2849.056978</v>
      </c>
      <c r="N47" s="5">
        <f t="shared" si="15"/>
        <v>2849.056943</v>
      </c>
      <c r="O47" s="5">
        <f t="shared" si="16"/>
        <v>0</v>
      </c>
      <c r="P47" s="5">
        <f t="shared" si="20"/>
        <v>2849.056943</v>
      </c>
      <c r="Q47" s="5">
        <f t="shared" si="17"/>
        <v>655.2830968</v>
      </c>
      <c r="R47" s="5">
        <f t="shared" si="18"/>
        <v>2193.773881</v>
      </c>
      <c r="S47" s="5">
        <f>IFERROR(__xludf.DUMMYFUNCTION("IF(ISBETWEEN(A47,$B$22,$B$22+$B$19-1),$B$24,0)"),0.0)</f>
        <v>0</v>
      </c>
      <c r="T47" s="5">
        <f t="shared" si="19"/>
        <v>2193.773881</v>
      </c>
      <c r="U47" s="5">
        <f t="shared" si="21"/>
        <v>10423.79684</v>
      </c>
    </row>
    <row r="48">
      <c r="A48" s="15">
        <v>17.0</v>
      </c>
      <c r="B48" s="3">
        <f t="shared" si="3"/>
        <v>59690.57044</v>
      </c>
      <c r="C48" s="3">
        <f t="shared" si="4"/>
        <v>1.652847632</v>
      </c>
      <c r="D48" s="5">
        <f t="shared" si="5"/>
        <v>2523.270633</v>
      </c>
      <c r="E48" s="5">
        <f t="shared" si="6"/>
        <v>2523.270633</v>
      </c>
      <c r="F48" s="5">
        <f t="shared" si="7"/>
        <v>2523.270633</v>
      </c>
      <c r="G48" s="5">
        <f t="shared" si="8"/>
        <v>7569.8119</v>
      </c>
      <c r="H48" s="5">
        <f t="shared" si="9"/>
        <v>0.00001056149922</v>
      </c>
      <c r="I48" s="5">
        <f t="shared" si="10"/>
        <v>10147.39698</v>
      </c>
      <c r="J48" s="5">
        <f t="shared" si="11"/>
        <v>0</v>
      </c>
      <c r="K48" s="5">
        <f t="shared" si="12"/>
        <v>0</v>
      </c>
      <c r="L48" s="5">
        <f t="shared" si="13"/>
        <v>0</v>
      </c>
      <c r="M48" s="5">
        <f t="shared" si="14"/>
        <v>2577.585075</v>
      </c>
      <c r="N48" s="5">
        <f t="shared" si="15"/>
        <v>2577.585064</v>
      </c>
      <c r="O48" s="5">
        <f t="shared" si="16"/>
        <v>0</v>
      </c>
      <c r="P48" s="5">
        <f t="shared" si="20"/>
        <v>2577.585064</v>
      </c>
      <c r="Q48" s="5">
        <f t="shared" si="17"/>
        <v>592.8445648</v>
      </c>
      <c r="R48" s="5">
        <f t="shared" si="18"/>
        <v>1984.74051</v>
      </c>
      <c r="S48" s="5">
        <f>IFERROR(__xludf.DUMMYFUNCTION("IF(ISBETWEEN(A48,$B$22,$B$22+$B$19-1),$B$24,0)"),0.0)</f>
        <v>0</v>
      </c>
      <c r="T48" s="5">
        <f t="shared" si="19"/>
        <v>1984.74051</v>
      </c>
      <c r="U48" s="5">
        <f t="shared" si="21"/>
        <v>12408.53735</v>
      </c>
    </row>
    <row r="49">
      <c r="A49" s="15">
        <v>18.0</v>
      </c>
      <c r="B49" s="3">
        <f t="shared" si="3"/>
        <v>59392.11759</v>
      </c>
      <c r="C49" s="3">
        <f t="shared" si="4"/>
        <v>1.702433061</v>
      </c>
      <c r="D49" s="5">
        <f t="shared" si="5"/>
        <v>2598.968752</v>
      </c>
      <c r="E49" s="5">
        <f t="shared" si="6"/>
        <v>2598.968752</v>
      </c>
      <c r="F49" s="5">
        <f t="shared" si="7"/>
        <v>2598.968752</v>
      </c>
      <c r="G49" s="5">
        <f t="shared" si="8"/>
        <v>7796.906257</v>
      </c>
      <c r="H49" s="5">
        <f t="shared" si="9"/>
        <v>0.000003168449766</v>
      </c>
      <c r="I49" s="5">
        <f t="shared" si="10"/>
        <v>10096.65999</v>
      </c>
      <c r="J49" s="5">
        <f t="shared" si="11"/>
        <v>0</v>
      </c>
      <c r="K49" s="5">
        <f t="shared" si="12"/>
        <v>0</v>
      </c>
      <c r="L49" s="5">
        <f t="shared" si="13"/>
        <v>0</v>
      </c>
      <c r="M49" s="5">
        <f t="shared" si="14"/>
        <v>2299.753733</v>
      </c>
      <c r="N49" s="5">
        <f t="shared" si="15"/>
        <v>2299.75373</v>
      </c>
      <c r="O49" s="5">
        <f t="shared" si="16"/>
        <v>0</v>
      </c>
      <c r="P49" s="5">
        <f t="shared" si="20"/>
        <v>2299.75373</v>
      </c>
      <c r="Q49" s="5">
        <f t="shared" si="17"/>
        <v>528.9433579</v>
      </c>
      <c r="R49" s="5">
        <f t="shared" si="18"/>
        <v>1770.810375</v>
      </c>
      <c r="S49" s="5">
        <f>IFERROR(__xludf.DUMMYFUNCTION("IF(ISBETWEEN(A49,$B$22,$B$22+$B$19-1),$B$24,0)"),0.0)</f>
        <v>0</v>
      </c>
      <c r="T49" s="5">
        <f t="shared" si="19"/>
        <v>1770.810375</v>
      </c>
      <c r="U49" s="5">
        <f t="shared" si="21"/>
        <v>14179.34773</v>
      </c>
    </row>
    <row r="50">
      <c r="A50" s="15">
        <v>19.0</v>
      </c>
      <c r="B50" s="3">
        <f t="shared" si="3"/>
        <v>59095.157</v>
      </c>
      <c r="C50" s="3">
        <f t="shared" si="4"/>
        <v>1.753506053</v>
      </c>
      <c r="D50" s="5">
        <f t="shared" si="5"/>
        <v>2676.937815</v>
      </c>
      <c r="E50" s="5">
        <f t="shared" si="6"/>
        <v>2676.937815</v>
      </c>
      <c r="F50" s="5">
        <f t="shared" si="7"/>
        <v>2676.937815</v>
      </c>
      <c r="G50" s="5">
        <f t="shared" si="8"/>
        <v>8030.813445</v>
      </c>
      <c r="H50" s="5">
        <f t="shared" si="9"/>
        <v>0.0000009505349297</v>
      </c>
      <c r="I50" s="5">
        <f t="shared" si="10"/>
        <v>10046.17669</v>
      </c>
      <c r="J50" s="5">
        <f t="shared" si="11"/>
        <v>0</v>
      </c>
      <c r="K50" s="5">
        <f t="shared" si="12"/>
        <v>0</v>
      </c>
      <c r="L50" s="5">
        <f t="shared" si="13"/>
        <v>0</v>
      </c>
      <c r="M50" s="5">
        <f t="shared" si="14"/>
        <v>2015.363245</v>
      </c>
      <c r="N50" s="5">
        <f t="shared" si="15"/>
        <v>2015.363244</v>
      </c>
      <c r="O50" s="5">
        <f t="shared" si="16"/>
        <v>0</v>
      </c>
      <c r="P50" s="5">
        <f t="shared" si="20"/>
        <v>2015.363244</v>
      </c>
      <c r="Q50" s="5">
        <f t="shared" si="17"/>
        <v>463.5335462</v>
      </c>
      <c r="R50" s="5">
        <f t="shared" si="18"/>
        <v>1551.829699</v>
      </c>
      <c r="S50" s="5">
        <f>IFERROR(__xludf.DUMMYFUNCTION("IF(ISBETWEEN(A50,$B$22,$B$22+$B$19-1),$B$24,0)"),0.0)</f>
        <v>0</v>
      </c>
      <c r="T50" s="5">
        <f t="shared" si="19"/>
        <v>1551.829699</v>
      </c>
      <c r="U50" s="5">
        <f t="shared" si="21"/>
        <v>15731.17743</v>
      </c>
    </row>
    <row r="51">
      <c r="A51" s="15">
        <v>20.0</v>
      </c>
      <c r="B51" s="3">
        <f t="shared" si="3"/>
        <v>58799.68122</v>
      </c>
      <c r="C51" s="3">
        <f t="shared" si="4"/>
        <v>1.806111235</v>
      </c>
      <c r="D51" s="5">
        <f t="shared" si="5"/>
        <v>2757.24595</v>
      </c>
      <c r="E51" s="5">
        <f t="shared" si="6"/>
        <v>2757.24595</v>
      </c>
      <c r="F51" s="5">
        <f t="shared" si="7"/>
        <v>2757.24595</v>
      </c>
      <c r="G51" s="5">
        <f t="shared" si="8"/>
        <v>8271.737849</v>
      </c>
      <c r="H51" s="5">
        <f t="shared" si="9"/>
        <v>0.0000002851604789</v>
      </c>
      <c r="I51" s="5">
        <f t="shared" si="10"/>
        <v>9995.945807</v>
      </c>
      <c r="J51" s="5">
        <f t="shared" si="11"/>
        <v>0</v>
      </c>
      <c r="K51" s="5">
        <f t="shared" si="12"/>
        <v>0</v>
      </c>
      <c r="L51" s="5">
        <f t="shared" si="13"/>
        <v>0</v>
      </c>
      <c r="M51" s="5">
        <f t="shared" si="14"/>
        <v>1724.207959</v>
      </c>
      <c r="N51" s="5">
        <f t="shared" si="15"/>
        <v>1724.207958</v>
      </c>
      <c r="O51" s="5">
        <f t="shared" si="16"/>
        <v>0</v>
      </c>
      <c r="P51" s="5">
        <f t="shared" si="20"/>
        <v>1724.207958</v>
      </c>
      <c r="Q51" s="5">
        <f t="shared" si="17"/>
        <v>396.5678304</v>
      </c>
      <c r="R51" s="5">
        <f t="shared" si="18"/>
        <v>1327.640128</v>
      </c>
      <c r="S51" s="5">
        <f>IFERROR(__xludf.DUMMYFUNCTION("IF(ISBETWEEN(A51,$B$22,$B$22+$B$19-1),$B$24,0)"),0.0)</f>
        <v>0</v>
      </c>
      <c r="T51" s="5">
        <f t="shared" si="19"/>
        <v>1327.640128</v>
      </c>
      <c r="U51" s="5">
        <f t="shared" si="21"/>
        <v>17058.81756</v>
      </c>
    </row>
    <row r="52">
      <c r="A52" s="15">
        <v>21.0</v>
      </c>
      <c r="B52" s="3">
        <f t="shared" si="3"/>
        <v>58505.68281</v>
      </c>
      <c r="C52" s="3">
        <f t="shared" si="4"/>
        <v>1.860294572</v>
      </c>
      <c r="D52" s="5">
        <f t="shared" si="5"/>
        <v>2839.963328</v>
      </c>
      <c r="E52" s="5">
        <f t="shared" si="6"/>
        <v>2839.963328</v>
      </c>
      <c r="F52" s="5">
        <f t="shared" si="7"/>
        <v>2839.963328</v>
      </c>
      <c r="G52" s="5">
        <f t="shared" si="8"/>
        <v>8519.889984</v>
      </c>
      <c r="H52" s="5">
        <f t="shared" si="9"/>
        <v>0.00000008554814367</v>
      </c>
      <c r="I52" s="5">
        <f t="shared" si="10"/>
        <v>9945.966078</v>
      </c>
      <c r="J52" s="5">
        <f t="shared" si="11"/>
        <v>0</v>
      </c>
      <c r="K52" s="5">
        <f t="shared" si="12"/>
        <v>0</v>
      </c>
      <c r="L52" s="5">
        <f t="shared" si="13"/>
        <v>0</v>
      </c>
      <c r="M52" s="5">
        <f t="shared" si="14"/>
        <v>1426.076094</v>
      </c>
      <c r="N52" s="5">
        <f t="shared" si="15"/>
        <v>1426.076094</v>
      </c>
      <c r="O52" s="5">
        <f t="shared" si="16"/>
        <v>0</v>
      </c>
      <c r="P52" s="5">
        <f t="shared" si="20"/>
        <v>1426.076094</v>
      </c>
      <c r="Q52" s="5">
        <f t="shared" si="17"/>
        <v>327.9975016</v>
      </c>
      <c r="R52" s="5">
        <f t="shared" si="18"/>
        <v>1098.078592</v>
      </c>
      <c r="S52" s="5">
        <f>IFERROR(__xludf.DUMMYFUNCTION("IF(ISBETWEEN(A52,$B$22,$B$22+$B$19-1),$B$24,0)"),0.0)</f>
        <v>0</v>
      </c>
      <c r="T52" s="5">
        <f t="shared" si="19"/>
        <v>1098.078592</v>
      </c>
      <c r="U52" s="5">
        <f t="shared" si="21"/>
        <v>18156.89615</v>
      </c>
    </row>
    <row r="53">
      <c r="A53" s="15">
        <v>22.0</v>
      </c>
      <c r="B53" s="3">
        <f t="shared" si="3"/>
        <v>58213.1544</v>
      </c>
      <c r="C53" s="3">
        <f t="shared" si="4"/>
        <v>1.916103409</v>
      </c>
      <c r="D53" s="5">
        <f t="shared" si="5"/>
        <v>2925.162228</v>
      </c>
      <c r="E53" s="5">
        <f t="shared" si="6"/>
        <v>2925.162228</v>
      </c>
      <c r="F53" s="5">
        <f t="shared" si="7"/>
        <v>2925.162228</v>
      </c>
      <c r="G53" s="5">
        <f t="shared" si="8"/>
        <v>8775.486683</v>
      </c>
      <c r="H53" s="5">
        <f t="shared" si="9"/>
        <v>0.0000000256644431</v>
      </c>
      <c r="I53" s="5">
        <f t="shared" si="10"/>
        <v>9896.236248</v>
      </c>
      <c r="J53" s="5">
        <f t="shared" si="11"/>
        <v>0</v>
      </c>
      <c r="K53" s="5">
        <f t="shared" si="12"/>
        <v>0</v>
      </c>
      <c r="L53" s="5">
        <f t="shared" si="13"/>
        <v>0</v>
      </c>
      <c r="M53" s="5">
        <f t="shared" si="14"/>
        <v>1120.749564</v>
      </c>
      <c r="N53" s="5">
        <f t="shared" si="15"/>
        <v>1120.749564</v>
      </c>
      <c r="O53" s="5">
        <f t="shared" si="16"/>
        <v>0</v>
      </c>
      <c r="P53" s="5">
        <f t="shared" si="20"/>
        <v>1120.749564</v>
      </c>
      <c r="Q53" s="5">
        <f t="shared" si="17"/>
        <v>257.7723997</v>
      </c>
      <c r="R53" s="5">
        <f t="shared" si="18"/>
        <v>862.9771644</v>
      </c>
      <c r="S53" s="5">
        <f>IFERROR(__xludf.DUMMYFUNCTION("IF(ISBETWEEN(A53,$B$22,$B$22+$B$19-1),$B$24,0)"),0.0)</f>
        <v>0</v>
      </c>
      <c r="T53" s="5">
        <f t="shared" si="19"/>
        <v>862.9771644</v>
      </c>
      <c r="U53" s="5">
        <f t="shared" si="21"/>
        <v>19019.87331</v>
      </c>
    </row>
    <row r="54">
      <c r="A54" s="15">
        <v>23.0</v>
      </c>
      <c r="B54" s="3">
        <f t="shared" si="3"/>
        <v>57922.08863</v>
      </c>
      <c r="C54" s="3">
        <f t="shared" si="4"/>
        <v>1.973586511</v>
      </c>
      <c r="D54" s="5">
        <f t="shared" si="5"/>
        <v>3012.917095</v>
      </c>
      <c r="E54" s="5">
        <f t="shared" si="6"/>
        <v>3012.917095</v>
      </c>
      <c r="F54" s="5">
        <f t="shared" si="7"/>
        <v>3012.917095</v>
      </c>
      <c r="G54" s="5">
        <f t="shared" si="8"/>
        <v>9038.751284</v>
      </c>
      <c r="H54" s="5">
        <f t="shared" si="9"/>
        <v>0.00000000769933293</v>
      </c>
      <c r="I54" s="5">
        <f t="shared" si="10"/>
        <v>9846.755066</v>
      </c>
      <c r="J54" s="5">
        <f t="shared" si="11"/>
        <v>0</v>
      </c>
      <c r="K54" s="5">
        <f t="shared" si="12"/>
        <v>0</v>
      </c>
      <c r="L54" s="5">
        <f t="shared" si="13"/>
        <v>0</v>
      </c>
      <c r="M54" s="5">
        <f t="shared" si="14"/>
        <v>808.0037824</v>
      </c>
      <c r="N54" s="5">
        <f t="shared" si="15"/>
        <v>808.0037824</v>
      </c>
      <c r="O54" s="5">
        <f t="shared" si="16"/>
        <v>0</v>
      </c>
      <c r="P54" s="5">
        <f t="shared" si="20"/>
        <v>808.0037824</v>
      </c>
      <c r="Q54" s="5">
        <f t="shared" si="17"/>
        <v>185.8408699</v>
      </c>
      <c r="R54" s="5">
        <f t="shared" si="18"/>
        <v>622.1629124</v>
      </c>
      <c r="S54" s="5">
        <f>IFERROR(__xludf.DUMMYFUNCTION("IF(ISBETWEEN(A54,$B$22,$B$22+$B$19-1),$B$24,0)"),0.0)</f>
        <v>0</v>
      </c>
      <c r="T54" s="5">
        <f t="shared" si="19"/>
        <v>622.1629124</v>
      </c>
      <c r="U54" s="5">
        <f t="shared" si="21"/>
        <v>19642.03623</v>
      </c>
    </row>
    <row r="55">
      <c r="A55" s="15">
        <v>24.0</v>
      </c>
      <c r="B55" s="3">
        <f t="shared" si="3"/>
        <v>57632.47818</v>
      </c>
      <c r="C55" s="3">
        <f t="shared" si="4"/>
        <v>2.032794106</v>
      </c>
      <c r="D55" s="5">
        <f t="shared" si="5"/>
        <v>3103.304608</v>
      </c>
      <c r="E55" s="5">
        <f t="shared" si="6"/>
        <v>3103.304608</v>
      </c>
      <c r="F55" s="5">
        <f t="shared" si="7"/>
        <v>3103.304608</v>
      </c>
      <c r="G55" s="5">
        <f t="shared" si="8"/>
        <v>9309.913823</v>
      </c>
      <c r="H55" s="5">
        <f t="shared" si="9"/>
        <v>0.000000002309799879</v>
      </c>
      <c r="I55" s="5">
        <f t="shared" si="10"/>
        <v>9797.521291</v>
      </c>
      <c r="J55" s="5">
        <f t="shared" si="11"/>
        <v>0</v>
      </c>
      <c r="K55" s="5">
        <f t="shared" si="12"/>
        <v>0</v>
      </c>
      <c r="L55" s="5">
        <f t="shared" si="13"/>
        <v>0</v>
      </c>
      <c r="M55" s="5">
        <f t="shared" si="14"/>
        <v>487.6074685</v>
      </c>
      <c r="N55" s="5">
        <f t="shared" si="15"/>
        <v>487.6074685</v>
      </c>
      <c r="O55" s="5">
        <f t="shared" si="16"/>
        <v>0</v>
      </c>
      <c r="P55" s="5">
        <f t="shared" si="20"/>
        <v>487.6074685</v>
      </c>
      <c r="Q55" s="5">
        <f t="shared" si="17"/>
        <v>112.1497178</v>
      </c>
      <c r="R55" s="5">
        <f t="shared" si="18"/>
        <v>375.4577508</v>
      </c>
      <c r="S55" s="5">
        <f>IFERROR(__xludf.DUMMYFUNCTION("IF(ISBETWEEN(A55,$B$22,$B$22+$B$19-1),$B$24,0)"),0.0)</f>
        <v>0</v>
      </c>
      <c r="T55" s="5">
        <f t="shared" si="19"/>
        <v>375.4577508</v>
      </c>
      <c r="U55" s="5">
        <f t="shared" si="21"/>
        <v>20017.49398</v>
      </c>
    </row>
    <row r="56">
      <c r="B56" s="3">
        <f>SUM(B31:B55)</f>
        <v>1531136.842</v>
      </c>
      <c r="D56" s="5">
        <f t="shared" ref="D56:I56" si="22">SUM(D31:D55)</f>
        <v>55659.45051</v>
      </c>
      <c r="E56" s="5">
        <f t="shared" si="22"/>
        <v>55659.45051</v>
      </c>
      <c r="F56" s="5">
        <f t="shared" si="22"/>
        <v>55659.45051</v>
      </c>
      <c r="G56" s="5">
        <f t="shared" si="22"/>
        <v>166978.3515</v>
      </c>
      <c r="H56" s="11">
        <f t="shared" si="22"/>
        <v>11683.31809</v>
      </c>
      <c r="I56" s="11">
        <f t="shared" si="22"/>
        <v>260293.2631</v>
      </c>
      <c r="K56" s="5">
        <f t="shared" ref="K56:M56" si="23">SUM(K31:K55)</f>
        <v>16356.64533</v>
      </c>
      <c r="L56" s="5">
        <f t="shared" si="23"/>
        <v>16356.64533</v>
      </c>
      <c r="M56" s="9">
        <f t="shared" si="23"/>
        <v>93314.91157</v>
      </c>
      <c r="Q56" s="5">
        <f t="shared" ref="Q56:T56" si="24">SUM(Q31:Q55)</f>
        <v>18775.2665</v>
      </c>
      <c r="R56" s="5">
        <f t="shared" si="24"/>
        <v>74539.64507</v>
      </c>
      <c r="S56" s="16">
        <f t="shared" si="24"/>
        <v>54522.15109</v>
      </c>
      <c r="T56" s="5">
        <f t="shared" si="24"/>
        <v>20017.49398</v>
      </c>
    </row>
    <row r="57">
      <c r="H57" s="6"/>
      <c r="I57" s="6"/>
    </row>
    <row r="58">
      <c r="H58" s="6"/>
      <c r="I58" s="6"/>
    </row>
    <row r="59">
      <c r="H59" s="6"/>
    </row>
    <row r="60">
      <c r="H60" s="6"/>
      <c r="I60" s="6"/>
    </row>
    <row r="61">
      <c r="H61" s="6"/>
      <c r="I61" s="6"/>
    </row>
    <row r="62">
      <c r="H62" s="6"/>
      <c r="I62" s="6"/>
    </row>
    <row r="63">
      <c r="H63" s="6"/>
      <c r="I63" s="6"/>
    </row>
    <row r="64">
      <c r="B64" s="17"/>
      <c r="D64" s="18"/>
      <c r="H64" s="6"/>
      <c r="I64" s="6"/>
    </row>
    <row r="65">
      <c r="H65" s="6"/>
      <c r="I65" s="6"/>
    </row>
    <row r="66">
      <c r="H66" s="6"/>
      <c r="I66" s="6"/>
    </row>
    <row r="67">
      <c r="H67" s="6"/>
      <c r="I67" s="6"/>
    </row>
    <row r="68">
      <c r="H68" s="6"/>
      <c r="I68" s="6"/>
    </row>
    <row r="69">
      <c r="H69" s="6"/>
      <c r="I69" s="6"/>
    </row>
    <row r="70">
      <c r="H70" s="6"/>
      <c r="I70" s="6"/>
    </row>
    <row r="71">
      <c r="H71" s="6"/>
      <c r="I71" s="6"/>
    </row>
    <row r="72">
      <c r="H72" s="6"/>
      <c r="I72" s="6"/>
    </row>
    <row r="73">
      <c r="H73" s="6"/>
      <c r="I73" s="6"/>
    </row>
    <row r="74">
      <c r="H74" s="6"/>
      <c r="I74" s="6"/>
    </row>
    <row r="75">
      <c r="H75" s="6"/>
      <c r="I75" s="6"/>
    </row>
    <row r="76">
      <c r="H76" s="6"/>
      <c r="I76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4" max="4" width="17.38"/>
  </cols>
  <sheetData>
    <row r="2">
      <c r="A2" s="1" t="s">
        <v>0</v>
      </c>
      <c r="B2" s="2">
        <v>0.17</v>
      </c>
      <c r="D2" s="1" t="s">
        <v>1</v>
      </c>
      <c r="E2" s="1">
        <v>0.33</v>
      </c>
    </row>
    <row r="3">
      <c r="A3" s="1" t="s">
        <v>2</v>
      </c>
      <c r="B3" s="1">
        <v>65000.0</v>
      </c>
      <c r="D3" s="1" t="s">
        <v>3</v>
      </c>
      <c r="E3" s="1">
        <v>0.33</v>
      </c>
    </row>
    <row r="4">
      <c r="A4" s="1" t="s">
        <v>4</v>
      </c>
      <c r="B4" s="1">
        <v>8766.0</v>
      </c>
      <c r="D4" s="1" t="s">
        <v>5</v>
      </c>
      <c r="E4" s="3">
        <f>1-E2-E3</f>
        <v>0.34</v>
      </c>
    </row>
    <row r="5">
      <c r="A5" s="1" t="s">
        <v>6</v>
      </c>
      <c r="B5" s="4">
        <f>$B$3/$B$4/$B$2</f>
        <v>43.61772087</v>
      </c>
    </row>
    <row r="6">
      <c r="A6" s="1" t="s">
        <v>7</v>
      </c>
      <c r="B6" s="1">
        <v>2.5</v>
      </c>
    </row>
    <row r="7">
      <c r="A7" s="1" t="s">
        <v>8</v>
      </c>
      <c r="B7" s="5">
        <f>B5*B6*1000</f>
        <v>109044.3022</v>
      </c>
    </row>
    <row r="8">
      <c r="A8" s="1" t="s">
        <v>9</v>
      </c>
      <c r="B8" s="6">
        <v>0.005</v>
      </c>
    </row>
    <row r="9">
      <c r="A9" s="1" t="s">
        <v>10</v>
      </c>
      <c r="B9" s="7">
        <v>0.03</v>
      </c>
    </row>
    <row r="10">
      <c r="A10" s="1" t="s">
        <v>11</v>
      </c>
      <c r="B10" s="6">
        <f t="shared" ref="B10:B12" si="1">$E$11</f>
        <v>0.0075</v>
      </c>
      <c r="D10" s="1" t="s">
        <v>12</v>
      </c>
      <c r="E10" s="6">
        <v>0.0225</v>
      </c>
    </row>
    <row r="11">
      <c r="A11" s="1" t="s">
        <v>13</v>
      </c>
      <c r="B11" s="6">
        <f t="shared" si="1"/>
        <v>0.0075</v>
      </c>
      <c r="D11" s="1" t="s">
        <v>14</v>
      </c>
      <c r="E11" s="8">
        <f>E10/3</f>
        <v>0.0075</v>
      </c>
    </row>
    <row r="12">
      <c r="A12" s="1" t="s">
        <v>15</v>
      </c>
      <c r="B12" s="6">
        <f t="shared" si="1"/>
        <v>0.0075</v>
      </c>
    </row>
    <row r="13">
      <c r="A13" s="1" t="s">
        <v>16</v>
      </c>
      <c r="B13" s="7">
        <v>0.3</v>
      </c>
    </row>
    <row r="14">
      <c r="A14" s="1" t="s">
        <v>17</v>
      </c>
      <c r="B14" s="7">
        <v>0.5</v>
      </c>
    </row>
    <row r="15">
      <c r="A15" s="1" t="s">
        <v>18</v>
      </c>
      <c r="B15" s="7">
        <v>0.5</v>
      </c>
      <c r="L15" s="1" t="s">
        <v>19</v>
      </c>
      <c r="M15" s="9">
        <f>'Bill Comparison'!F28</f>
        <v>322479.9538</v>
      </c>
    </row>
    <row r="16">
      <c r="A16" s="1" t="s">
        <v>20</v>
      </c>
      <c r="B16" s="5">
        <f>B7*B15</f>
        <v>54522.15109</v>
      </c>
      <c r="L16" s="1" t="s">
        <v>21</v>
      </c>
      <c r="M16" s="9">
        <f>'Bill Comparison'!J28</f>
        <v>49771.69702</v>
      </c>
      <c r="N16" s="1" t="s">
        <v>22</v>
      </c>
      <c r="O16" s="1" t="s">
        <v>23</v>
      </c>
    </row>
    <row r="17">
      <c r="A17" s="1" t="s">
        <v>24</v>
      </c>
      <c r="B17" s="5">
        <f>B7-B16</f>
        <v>54522.15109</v>
      </c>
      <c r="L17" s="1" t="s">
        <v>25</v>
      </c>
      <c r="M17" s="9">
        <f>'Bill Comparison'!L28</f>
        <v>272708.2568</v>
      </c>
      <c r="N17" s="8"/>
      <c r="Q17" s="1"/>
      <c r="R17" s="1" t="s">
        <v>26</v>
      </c>
      <c r="S17" s="8">
        <f>1-(I53+M16)/M15</f>
        <v>0.2640287952</v>
      </c>
    </row>
    <row r="18">
      <c r="A18" s="1" t="s">
        <v>27</v>
      </c>
      <c r="B18" s="7">
        <v>0.04</v>
      </c>
      <c r="L18" s="1" t="s">
        <v>65</v>
      </c>
      <c r="M18" s="9">
        <f>M17-I53</f>
        <v>85143.99369</v>
      </c>
      <c r="N18" s="8">
        <f>M18/M19</f>
        <v>0.4187159942</v>
      </c>
      <c r="O18" s="9">
        <f>M18/25</f>
        <v>3405.759748</v>
      </c>
    </row>
    <row r="19" ht="19.5" customHeight="1">
      <c r="A19" s="1" t="s">
        <v>29</v>
      </c>
      <c r="B19" s="1">
        <v>10.0</v>
      </c>
      <c r="L19" s="1" t="s">
        <v>30</v>
      </c>
      <c r="M19" s="9">
        <f>M18+T53+G53</f>
        <v>203345.4534</v>
      </c>
      <c r="N19" s="8"/>
    </row>
    <row r="20">
      <c r="A20" s="10" t="s">
        <v>34</v>
      </c>
      <c r="B20" s="1">
        <v>3.0</v>
      </c>
      <c r="C20" s="1"/>
      <c r="D20" s="1"/>
      <c r="E20" s="1"/>
      <c r="F20" s="1"/>
      <c r="G20" s="1"/>
      <c r="H20" s="1"/>
      <c r="I20" s="1"/>
      <c r="L20" s="1" t="s">
        <v>3</v>
      </c>
      <c r="M20" s="5">
        <f>G53</f>
        <v>89452.68831</v>
      </c>
      <c r="N20" s="8">
        <f>M20/M19</f>
        <v>0.4399050326</v>
      </c>
      <c r="O20" s="9">
        <f t="shared" ref="O20:O21" si="2">M20/25</f>
        <v>3578.107532</v>
      </c>
    </row>
    <row r="21">
      <c r="A21" s="10" t="s">
        <v>37</v>
      </c>
      <c r="B21" s="11">
        <f>B17/B19</f>
        <v>5452.215109</v>
      </c>
      <c r="C21" s="1"/>
      <c r="D21" s="1"/>
      <c r="E21" s="1"/>
      <c r="F21" s="1"/>
      <c r="G21" s="1"/>
      <c r="H21" s="1"/>
      <c r="I21" s="1"/>
      <c r="L21" s="1" t="s">
        <v>5</v>
      </c>
      <c r="M21" s="9">
        <f>M19-M18-M20</f>
        <v>28748.77142</v>
      </c>
      <c r="N21" s="8">
        <f>M21/M19</f>
        <v>0.1413789732</v>
      </c>
      <c r="O21" s="9">
        <f t="shared" si="2"/>
        <v>1149.950857</v>
      </c>
    </row>
    <row r="22">
      <c r="A22" s="10" t="s">
        <v>38</v>
      </c>
      <c r="B22" s="7">
        <v>0.23</v>
      </c>
      <c r="C22" s="1"/>
      <c r="D22" s="1"/>
      <c r="E22" s="1"/>
      <c r="F22" s="1"/>
      <c r="G22" s="1"/>
      <c r="H22" s="1"/>
      <c r="I22" s="1"/>
      <c r="N22" s="8">
        <f>N18+N20+N21</f>
        <v>1</v>
      </c>
    </row>
    <row r="23">
      <c r="A23" s="10" t="s">
        <v>39</v>
      </c>
      <c r="B23" s="7">
        <v>0.3</v>
      </c>
      <c r="C23" s="1"/>
      <c r="D23" s="1"/>
      <c r="E23" s="1"/>
      <c r="F23" s="1"/>
      <c r="G23" s="1"/>
      <c r="H23" s="1"/>
      <c r="I23" s="1"/>
    </row>
    <row r="24">
      <c r="A24" s="10" t="s">
        <v>40</v>
      </c>
      <c r="B24" s="1">
        <f>B17*B23</f>
        <v>16356.64533</v>
      </c>
      <c r="C24" s="1"/>
      <c r="D24" s="1"/>
      <c r="E24" s="1"/>
      <c r="F24" s="1"/>
      <c r="G24" s="1"/>
      <c r="H24" s="1"/>
      <c r="I24" s="1"/>
      <c r="L24" s="1" t="s">
        <v>41</v>
      </c>
      <c r="M24" s="3">
        <f>M19/M17</f>
        <v>0.7456519865</v>
      </c>
    </row>
    <row r="25">
      <c r="A25" s="10" t="s">
        <v>42</v>
      </c>
      <c r="B25" s="1">
        <v>1.0</v>
      </c>
      <c r="C25" s="1"/>
      <c r="D25" s="1"/>
      <c r="E25" s="1"/>
      <c r="F25" s="1"/>
      <c r="G25" s="1"/>
      <c r="H25" s="1"/>
      <c r="I25" s="1"/>
    </row>
    <row r="26">
      <c r="A26" s="12"/>
      <c r="B26" s="1"/>
      <c r="C26" s="1"/>
      <c r="D26" s="1"/>
      <c r="E26" s="1"/>
      <c r="F26" s="1"/>
      <c r="G26" s="1"/>
      <c r="H26" s="1" t="s">
        <v>43</v>
      </c>
      <c r="I26" s="1">
        <v>0.1225</v>
      </c>
    </row>
    <row r="27">
      <c r="A27" s="13" t="s">
        <v>44</v>
      </c>
      <c r="B27" s="14" t="s">
        <v>45</v>
      </c>
      <c r="C27" s="14" t="s">
        <v>46</v>
      </c>
      <c r="D27" s="14" t="s">
        <v>47</v>
      </c>
      <c r="E27" s="14" t="s">
        <v>48</v>
      </c>
      <c r="F27" s="14" t="s">
        <v>49</v>
      </c>
      <c r="G27" s="14" t="s">
        <v>50</v>
      </c>
      <c r="H27" s="14" t="s">
        <v>51</v>
      </c>
      <c r="I27" s="14" t="s">
        <v>64</v>
      </c>
      <c r="J27" s="14" t="s">
        <v>53</v>
      </c>
      <c r="K27" s="14" t="s">
        <v>54</v>
      </c>
      <c r="L27" s="14" t="s">
        <v>55</v>
      </c>
      <c r="M27" s="14" t="s">
        <v>56</v>
      </c>
      <c r="N27" s="14" t="s">
        <v>57</v>
      </c>
      <c r="O27" s="14" t="s">
        <v>58</v>
      </c>
      <c r="P27" s="14" t="s">
        <v>59</v>
      </c>
      <c r="Q27" s="14" t="s">
        <v>60</v>
      </c>
      <c r="R27" s="14" t="s">
        <v>61</v>
      </c>
      <c r="S27" s="14" t="s">
        <v>62</v>
      </c>
      <c r="T27" s="14" t="s">
        <v>63</v>
      </c>
      <c r="U27" s="1" t="s">
        <v>66</v>
      </c>
    </row>
    <row r="28">
      <c r="A28" s="15">
        <v>0.0</v>
      </c>
      <c r="B28" s="3">
        <f t="shared" ref="B28:B52" si="3">POWER(1-$B$8,A28)*$B$3</f>
        <v>65000</v>
      </c>
      <c r="C28" s="3">
        <f t="shared" ref="C28:C52" si="4">POWER(1+$B$9,A28)</f>
        <v>1</v>
      </c>
      <c r="D28" s="5">
        <f t="shared" ref="D28:D52" si="5">$B$7*C28*$B$10</f>
        <v>817.8322664</v>
      </c>
      <c r="E28" s="5">
        <f t="shared" ref="E28:E52" si="6">$B$7*$C28*$B$11</f>
        <v>817.8322664</v>
      </c>
      <c r="F28" s="5">
        <f t="shared" ref="F28:F52" si="7">$B$7*$C28*$B$12</f>
        <v>817.8322664</v>
      </c>
      <c r="G28" s="5">
        <f t="shared" ref="G28:G52" si="8">SUM(D28:F28)</f>
        <v>2453.496799</v>
      </c>
      <c r="H28" s="5">
        <f t="shared" ref="H28:H52" si="9">IF(A28=0,$B$17*$B$14*$B$13,H27*$B$13)</f>
        <v>8178.322664</v>
      </c>
      <c r="I28" s="5">
        <f t="shared" ref="I28:I52" si="10">B28*$I$26</f>
        <v>7962.5</v>
      </c>
      <c r="J28" s="5">
        <f t="shared" ref="J28:J52" si="11">MAX(IF(A28&gt;=$B$20,J27-$B$21,$B$17),0)</f>
        <v>54522.15109</v>
      </c>
      <c r="K28" s="5">
        <f t="shared" ref="K28:K52" si="12">IF(A28&gt;=$B$20,J28*$B$18,0)</f>
        <v>0</v>
      </c>
      <c r="L28" s="5">
        <f t="shared" ref="L28:L52" si="13">IF(A28=$B$25,$B$24,0)</f>
        <v>0</v>
      </c>
      <c r="M28" s="5">
        <f t="shared" ref="M28:M52" si="14">I28-G28-K28+L28</f>
        <v>5509.003201</v>
      </c>
      <c r="N28" s="5">
        <f t="shared" ref="N28:N52" si="15">M28-H28</f>
        <v>-2669.319463</v>
      </c>
      <c r="O28" s="5">
        <f t="shared" ref="O28:O52" si="16">IF(N28&lt;0,N28,0)</f>
        <v>-2669.319463</v>
      </c>
      <c r="P28" s="5">
        <f t="shared" ref="P28:P52" si="17">IF(N28&gt;0,N28+O27,0)</f>
        <v>0</v>
      </c>
      <c r="Q28" s="5">
        <f t="shared" ref="Q28:Q52" si="18">$B$22*P28</f>
        <v>0</v>
      </c>
      <c r="R28" s="5">
        <f t="shared" ref="R28:R52" si="19">M28-Q28</f>
        <v>5509.003201</v>
      </c>
      <c r="S28" s="5">
        <f>IFERROR(__xludf.DUMMYFUNCTION("IF(ISBETWEEN(A28,$B$20,$B$20+$B$19-1),$B$21,0)"),0.0)</f>
        <v>0</v>
      </c>
      <c r="T28" s="5">
        <f t="shared" ref="T28:T52" si="20">R28-S28</f>
        <v>5509.003201</v>
      </c>
      <c r="U28" s="5">
        <f>T28</f>
        <v>5509.003201</v>
      </c>
      <c r="V28" s="5"/>
    </row>
    <row r="29">
      <c r="A29" s="15">
        <v>1.0</v>
      </c>
      <c r="B29" s="3">
        <f t="shared" si="3"/>
        <v>64675</v>
      </c>
      <c r="C29" s="3">
        <f t="shared" si="4"/>
        <v>1.03</v>
      </c>
      <c r="D29" s="5">
        <f t="shared" si="5"/>
        <v>842.3672344</v>
      </c>
      <c r="E29" s="5">
        <f t="shared" si="6"/>
        <v>842.3672344</v>
      </c>
      <c r="F29" s="5">
        <f t="shared" si="7"/>
        <v>842.3672344</v>
      </c>
      <c r="G29" s="5">
        <f t="shared" si="8"/>
        <v>2527.101703</v>
      </c>
      <c r="H29" s="5">
        <f t="shared" si="9"/>
        <v>2453.496799</v>
      </c>
      <c r="I29" s="5">
        <f t="shared" si="10"/>
        <v>7922.6875</v>
      </c>
      <c r="J29" s="5">
        <f t="shared" si="11"/>
        <v>54522.15109</v>
      </c>
      <c r="K29" s="5">
        <f t="shared" si="12"/>
        <v>0</v>
      </c>
      <c r="L29" s="5">
        <f t="shared" si="13"/>
        <v>16356.64533</v>
      </c>
      <c r="M29" s="5">
        <f t="shared" si="14"/>
        <v>21752.23112</v>
      </c>
      <c r="N29" s="5">
        <f t="shared" si="15"/>
        <v>19298.73433</v>
      </c>
      <c r="O29" s="5">
        <f t="shared" si="16"/>
        <v>0</v>
      </c>
      <c r="P29" s="5">
        <f t="shared" si="17"/>
        <v>16629.41486</v>
      </c>
      <c r="Q29" s="5">
        <f t="shared" si="18"/>
        <v>3824.765418</v>
      </c>
      <c r="R29" s="5">
        <f t="shared" si="19"/>
        <v>17927.46571</v>
      </c>
      <c r="S29" s="5">
        <f>IFERROR(__xludf.DUMMYFUNCTION("IF(ISBETWEEN(A29,$B$20,$B$20+$B$19-1),$B$21,0)"),0.0)</f>
        <v>0</v>
      </c>
      <c r="T29" s="5">
        <f t="shared" si="20"/>
        <v>17927.46571</v>
      </c>
      <c r="U29" s="5">
        <f t="shared" ref="U29:U52" si="21">T29+U28</f>
        <v>23436.46891</v>
      </c>
      <c r="V29" s="5"/>
    </row>
    <row r="30">
      <c r="A30" s="15">
        <v>2.0</v>
      </c>
      <c r="B30" s="3">
        <f t="shared" si="3"/>
        <v>64351.625</v>
      </c>
      <c r="C30" s="3">
        <f t="shared" si="4"/>
        <v>1.0609</v>
      </c>
      <c r="D30" s="5">
        <f t="shared" si="5"/>
        <v>867.6382514</v>
      </c>
      <c r="E30" s="5">
        <f t="shared" si="6"/>
        <v>867.6382514</v>
      </c>
      <c r="F30" s="5">
        <f t="shared" si="7"/>
        <v>867.6382514</v>
      </c>
      <c r="G30" s="5">
        <f t="shared" si="8"/>
        <v>2602.914754</v>
      </c>
      <c r="H30" s="5">
        <f t="shared" si="9"/>
        <v>736.0490397</v>
      </c>
      <c r="I30" s="5">
        <f t="shared" si="10"/>
        <v>7883.074063</v>
      </c>
      <c r="J30" s="5">
        <f t="shared" si="11"/>
        <v>54522.15109</v>
      </c>
      <c r="K30" s="5">
        <f t="shared" si="12"/>
        <v>0</v>
      </c>
      <c r="L30" s="5">
        <f t="shared" si="13"/>
        <v>0</v>
      </c>
      <c r="M30" s="5">
        <f t="shared" si="14"/>
        <v>5280.159308</v>
      </c>
      <c r="N30" s="5">
        <f t="shared" si="15"/>
        <v>4544.110269</v>
      </c>
      <c r="O30" s="5">
        <f t="shared" si="16"/>
        <v>0</v>
      </c>
      <c r="P30" s="5">
        <f t="shared" si="17"/>
        <v>4544.110269</v>
      </c>
      <c r="Q30" s="5">
        <f t="shared" si="18"/>
        <v>1045.145362</v>
      </c>
      <c r="R30" s="5">
        <f t="shared" si="19"/>
        <v>4235.013947</v>
      </c>
      <c r="S30" s="5">
        <f>IFERROR(__xludf.DUMMYFUNCTION("IF(ISBETWEEN(A30,$B$20,$B$20+$B$19-1),$B$21,0)"),0.0)</f>
        <v>0</v>
      </c>
      <c r="T30" s="5">
        <f t="shared" si="20"/>
        <v>4235.013947</v>
      </c>
      <c r="U30" s="5">
        <f t="shared" si="21"/>
        <v>27671.48285</v>
      </c>
      <c r="V30" s="5"/>
    </row>
    <row r="31">
      <c r="A31" s="15">
        <v>3.0</v>
      </c>
      <c r="B31" s="3">
        <f t="shared" si="3"/>
        <v>64029.86688</v>
      </c>
      <c r="C31" s="3">
        <f t="shared" si="4"/>
        <v>1.092727</v>
      </c>
      <c r="D31" s="5">
        <f t="shared" si="5"/>
        <v>893.6673989</v>
      </c>
      <c r="E31" s="5">
        <f t="shared" si="6"/>
        <v>893.6673989</v>
      </c>
      <c r="F31" s="5">
        <f t="shared" si="7"/>
        <v>893.6673989</v>
      </c>
      <c r="G31" s="5">
        <f t="shared" si="8"/>
        <v>2681.002197</v>
      </c>
      <c r="H31" s="5">
        <f t="shared" si="9"/>
        <v>220.8147119</v>
      </c>
      <c r="I31" s="5">
        <f t="shared" si="10"/>
        <v>7843.658692</v>
      </c>
      <c r="J31" s="5">
        <f t="shared" si="11"/>
        <v>49069.93598</v>
      </c>
      <c r="K31" s="5">
        <f t="shared" si="12"/>
        <v>1962.797439</v>
      </c>
      <c r="L31" s="5">
        <f t="shared" si="13"/>
        <v>0</v>
      </c>
      <c r="M31" s="5">
        <f t="shared" si="14"/>
        <v>3199.859056</v>
      </c>
      <c r="N31" s="5">
        <f t="shared" si="15"/>
        <v>2979.044344</v>
      </c>
      <c r="O31" s="5">
        <f t="shared" si="16"/>
        <v>0</v>
      </c>
      <c r="P31" s="5">
        <f t="shared" si="17"/>
        <v>2979.044344</v>
      </c>
      <c r="Q31" s="5">
        <f t="shared" si="18"/>
        <v>685.1801992</v>
      </c>
      <c r="R31" s="5">
        <f t="shared" si="19"/>
        <v>2514.678857</v>
      </c>
      <c r="S31" s="5">
        <f>IFERROR(__xludf.DUMMYFUNCTION("IF(ISBETWEEN(A31,$B$20,$B$20+$B$19-1),$B$21,0)"),5452.215109178511)</f>
        <v>5452.215109</v>
      </c>
      <c r="T31" s="5">
        <f t="shared" si="20"/>
        <v>-2937.536252</v>
      </c>
      <c r="U31" s="5">
        <f t="shared" si="21"/>
        <v>24733.9466</v>
      </c>
      <c r="V31" s="5"/>
    </row>
    <row r="32">
      <c r="A32" s="15">
        <v>4.0</v>
      </c>
      <c r="B32" s="3">
        <f t="shared" si="3"/>
        <v>63709.71754</v>
      </c>
      <c r="C32" s="3">
        <f t="shared" si="4"/>
        <v>1.12550881</v>
      </c>
      <c r="D32" s="5">
        <f t="shared" si="5"/>
        <v>920.4774209</v>
      </c>
      <c r="E32" s="5">
        <f t="shared" si="6"/>
        <v>920.4774209</v>
      </c>
      <c r="F32" s="5">
        <f t="shared" si="7"/>
        <v>920.4774209</v>
      </c>
      <c r="G32" s="5">
        <f t="shared" si="8"/>
        <v>2761.432263</v>
      </c>
      <c r="H32" s="5">
        <f t="shared" si="9"/>
        <v>66.24441358</v>
      </c>
      <c r="I32" s="5">
        <f t="shared" si="10"/>
        <v>7804.440399</v>
      </c>
      <c r="J32" s="5">
        <f t="shared" si="11"/>
        <v>43617.72087</v>
      </c>
      <c r="K32" s="5">
        <f t="shared" si="12"/>
        <v>1744.708835</v>
      </c>
      <c r="L32" s="5">
        <f t="shared" si="13"/>
        <v>0</v>
      </c>
      <c r="M32" s="5">
        <f t="shared" si="14"/>
        <v>3298.299301</v>
      </c>
      <c r="N32" s="5">
        <f t="shared" si="15"/>
        <v>3232.054887</v>
      </c>
      <c r="O32" s="5">
        <f t="shared" si="16"/>
        <v>0</v>
      </c>
      <c r="P32" s="5">
        <f t="shared" si="17"/>
        <v>3232.054887</v>
      </c>
      <c r="Q32" s="5">
        <f t="shared" si="18"/>
        <v>743.3726241</v>
      </c>
      <c r="R32" s="5">
        <f t="shared" si="19"/>
        <v>2554.926677</v>
      </c>
      <c r="S32" s="5">
        <f>IFERROR(__xludf.DUMMYFUNCTION("IF(ISBETWEEN(A32,$B$20,$B$20+$B$19-1),$B$21,0)"),5452.215109178511)</f>
        <v>5452.215109</v>
      </c>
      <c r="T32" s="5">
        <f t="shared" si="20"/>
        <v>-2897.288432</v>
      </c>
      <c r="U32" s="5">
        <f t="shared" si="21"/>
        <v>21836.65817</v>
      </c>
      <c r="V32" s="5"/>
    </row>
    <row r="33">
      <c r="A33" s="15">
        <v>5.0</v>
      </c>
      <c r="B33" s="3">
        <f t="shared" si="3"/>
        <v>63391.16895</v>
      </c>
      <c r="C33" s="3">
        <f t="shared" si="4"/>
        <v>1.159274074</v>
      </c>
      <c r="D33" s="5">
        <f t="shared" si="5"/>
        <v>948.0917435</v>
      </c>
      <c r="E33" s="5">
        <f t="shared" si="6"/>
        <v>948.0917435</v>
      </c>
      <c r="F33" s="5">
        <f t="shared" si="7"/>
        <v>948.0917435</v>
      </c>
      <c r="G33" s="5">
        <f t="shared" si="8"/>
        <v>2844.275231</v>
      </c>
      <c r="H33" s="5">
        <f t="shared" si="9"/>
        <v>19.87332407</v>
      </c>
      <c r="I33" s="5">
        <f t="shared" si="10"/>
        <v>7765.418197</v>
      </c>
      <c r="J33" s="5">
        <f t="shared" si="11"/>
        <v>38165.50576</v>
      </c>
      <c r="K33" s="5">
        <f t="shared" si="12"/>
        <v>1526.620231</v>
      </c>
      <c r="L33" s="5">
        <f t="shared" si="13"/>
        <v>0</v>
      </c>
      <c r="M33" s="5">
        <f t="shared" si="14"/>
        <v>3394.522736</v>
      </c>
      <c r="N33" s="5">
        <f t="shared" si="15"/>
        <v>3374.649411</v>
      </c>
      <c r="O33" s="5">
        <f t="shared" si="16"/>
        <v>0</v>
      </c>
      <c r="P33" s="5">
        <f t="shared" si="17"/>
        <v>3374.649411</v>
      </c>
      <c r="Q33" s="5">
        <f t="shared" si="18"/>
        <v>776.1693646</v>
      </c>
      <c r="R33" s="5">
        <f t="shared" si="19"/>
        <v>2618.353371</v>
      </c>
      <c r="S33" s="5">
        <f>IFERROR(__xludf.DUMMYFUNCTION("IF(ISBETWEEN(A33,$B$20,$B$20+$B$19-1),$B$21,0)"),5452.215109178511)</f>
        <v>5452.215109</v>
      </c>
      <c r="T33" s="5">
        <f t="shared" si="20"/>
        <v>-2833.861738</v>
      </c>
      <c r="U33" s="5">
        <f t="shared" si="21"/>
        <v>19002.79643</v>
      </c>
      <c r="V33" s="5"/>
    </row>
    <row r="34">
      <c r="A34" s="15">
        <v>6.0</v>
      </c>
      <c r="B34" s="3">
        <f t="shared" si="3"/>
        <v>63074.21311</v>
      </c>
      <c r="C34" s="3">
        <f t="shared" si="4"/>
        <v>1.194052297</v>
      </c>
      <c r="D34" s="5">
        <f t="shared" si="5"/>
        <v>976.5344958</v>
      </c>
      <c r="E34" s="5">
        <f t="shared" si="6"/>
        <v>976.5344958</v>
      </c>
      <c r="F34" s="5">
        <f t="shared" si="7"/>
        <v>976.5344958</v>
      </c>
      <c r="G34" s="5">
        <f t="shared" si="8"/>
        <v>2929.603488</v>
      </c>
      <c r="H34" s="5">
        <f t="shared" si="9"/>
        <v>5.961997222</v>
      </c>
      <c r="I34" s="5">
        <f t="shared" si="10"/>
        <v>7726.591106</v>
      </c>
      <c r="J34" s="5">
        <f t="shared" si="11"/>
        <v>32713.29066</v>
      </c>
      <c r="K34" s="5">
        <f t="shared" si="12"/>
        <v>1308.531626</v>
      </c>
      <c r="L34" s="5">
        <f t="shared" si="13"/>
        <v>0</v>
      </c>
      <c r="M34" s="5">
        <f t="shared" si="14"/>
        <v>3488.455992</v>
      </c>
      <c r="N34" s="5">
        <f t="shared" si="15"/>
        <v>3482.493995</v>
      </c>
      <c r="O34" s="5">
        <f t="shared" si="16"/>
        <v>0</v>
      </c>
      <c r="P34" s="5">
        <f t="shared" si="17"/>
        <v>3482.493995</v>
      </c>
      <c r="Q34" s="5">
        <f t="shared" si="18"/>
        <v>800.9736188</v>
      </c>
      <c r="R34" s="5">
        <f t="shared" si="19"/>
        <v>2687.482373</v>
      </c>
      <c r="S34" s="5">
        <f>IFERROR(__xludf.DUMMYFUNCTION("IF(ISBETWEEN(A34,$B$20,$B$20+$B$19-1),$B$21,0)"),5452.215109178511)</f>
        <v>5452.215109</v>
      </c>
      <c r="T34" s="5">
        <f t="shared" si="20"/>
        <v>-2764.732736</v>
      </c>
      <c r="U34" s="5">
        <f t="shared" si="21"/>
        <v>16238.06369</v>
      </c>
      <c r="V34" s="5"/>
    </row>
    <row r="35">
      <c r="A35" s="15">
        <v>7.0</v>
      </c>
      <c r="B35" s="3">
        <f t="shared" si="3"/>
        <v>62758.84204</v>
      </c>
      <c r="C35" s="3">
        <f t="shared" si="4"/>
        <v>1.229873865</v>
      </c>
      <c r="D35" s="5">
        <f t="shared" si="5"/>
        <v>1005.830531</v>
      </c>
      <c r="E35" s="5">
        <f t="shared" si="6"/>
        <v>1005.830531</v>
      </c>
      <c r="F35" s="5">
        <f t="shared" si="7"/>
        <v>1005.830531</v>
      </c>
      <c r="G35" s="5">
        <f t="shared" si="8"/>
        <v>3017.491592</v>
      </c>
      <c r="H35" s="5">
        <f t="shared" si="9"/>
        <v>1.788599167</v>
      </c>
      <c r="I35" s="5">
        <f t="shared" si="10"/>
        <v>7687.95815</v>
      </c>
      <c r="J35" s="5">
        <f t="shared" si="11"/>
        <v>27261.07555</v>
      </c>
      <c r="K35" s="5">
        <f t="shared" si="12"/>
        <v>1090.443022</v>
      </c>
      <c r="L35" s="5">
        <f t="shared" si="13"/>
        <v>0</v>
      </c>
      <c r="M35" s="5">
        <f t="shared" si="14"/>
        <v>3580.023536</v>
      </c>
      <c r="N35" s="5">
        <f t="shared" si="15"/>
        <v>3578.234937</v>
      </c>
      <c r="O35" s="5">
        <f t="shared" si="16"/>
        <v>0</v>
      </c>
      <c r="P35" s="5">
        <f t="shared" si="17"/>
        <v>3578.234937</v>
      </c>
      <c r="Q35" s="5">
        <f t="shared" si="18"/>
        <v>822.9940355</v>
      </c>
      <c r="R35" s="5">
        <f t="shared" si="19"/>
        <v>2757.029501</v>
      </c>
      <c r="S35" s="5">
        <f>IFERROR(__xludf.DUMMYFUNCTION("IF(ISBETWEEN(A35,$B$20,$B$20+$B$19-1),$B$21,0)"),5452.215109178511)</f>
        <v>5452.215109</v>
      </c>
      <c r="T35" s="5">
        <f t="shared" si="20"/>
        <v>-2695.185608</v>
      </c>
      <c r="U35" s="5">
        <f t="shared" si="21"/>
        <v>13542.87809</v>
      </c>
      <c r="V35" s="5"/>
    </row>
    <row r="36">
      <c r="A36" s="15">
        <v>8.0</v>
      </c>
      <c r="B36" s="3">
        <f t="shared" si="3"/>
        <v>62445.04783</v>
      </c>
      <c r="C36" s="3">
        <f t="shared" si="4"/>
        <v>1.266770081</v>
      </c>
      <c r="D36" s="5">
        <f t="shared" si="5"/>
        <v>1036.005447</v>
      </c>
      <c r="E36" s="5">
        <f t="shared" si="6"/>
        <v>1036.005447</v>
      </c>
      <c r="F36" s="5">
        <f t="shared" si="7"/>
        <v>1036.005447</v>
      </c>
      <c r="G36" s="5">
        <f t="shared" si="8"/>
        <v>3108.01634</v>
      </c>
      <c r="H36" s="5">
        <f t="shared" si="9"/>
        <v>0.53657975</v>
      </c>
      <c r="I36" s="5">
        <f t="shared" si="10"/>
        <v>7649.518359</v>
      </c>
      <c r="J36" s="5">
        <f t="shared" si="11"/>
        <v>21808.86044</v>
      </c>
      <c r="K36" s="5">
        <f t="shared" si="12"/>
        <v>872.3544175</v>
      </c>
      <c r="L36" s="5">
        <f t="shared" si="13"/>
        <v>0</v>
      </c>
      <c r="M36" s="5">
        <f t="shared" si="14"/>
        <v>3669.147602</v>
      </c>
      <c r="N36" s="5">
        <f t="shared" si="15"/>
        <v>3668.611022</v>
      </c>
      <c r="O36" s="5">
        <f t="shared" si="16"/>
        <v>0</v>
      </c>
      <c r="P36" s="5">
        <f t="shared" si="17"/>
        <v>3668.611022</v>
      </c>
      <c r="Q36" s="5">
        <f t="shared" si="18"/>
        <v>843.7805351</v>
      </c>
      <c r="R36" s="5">
        <f t="shared" si="19"/>
        <v>2825.367067</v>
      </c>
      <c r="S36" s="5">
        <f>IFERROR(__xludf.DUMMYFUNCTION("IF(ISBETWEEN(A36,$B$20,$B$20+$B$19-1),$B$21,0)"),5452.215109178511)</f>
        <v>5452.215109</v>
      </c>
      <c r="T36" s="5">
        <f t="shared" si="20"/>
        <v>-2626.848042</v>
      </c>
      <c r="U36" s="5">
        <f t="shared" si="21"/>
        <v>10916.03004</v>
      </c>
      <c r="V36" s="5"/>
    </row>
    <row r="37">
      <c r="A37" s="15">
        <v>9.0</v>
      </c>
      <c r="B37" s="3">
        <f t="shared" si="3"/>
        <v>62132.82259</v>
      </c>
      <c r="C37" s="3">
        <f t="shared" si="4"/>
        <v>1.304773184</v>
      </c>
      <c r="D37" s="5">
        <f t="shared" si="5"/>
        <v>1067.08561</v>
      </c>
      <c r="E37" s="5">
        <f t="shared" si="6"/>
        <v>1067.08561</v>
      </c>
      <c r="F37" s="5">
        <f t="shared" si="7"/>
        <v>1067.08561</v>
      </c>
      <c r="G37" s="5">
        <f t="shared" si="8"/>
        <v>3201.25683</v>
      </c>
      <c r="H37" s="5">
        <f t="shared" si="9"/>
        <v>0.160973925</v>
      </c>
      <c r="I37" s="5">
        <f t="shared" si="10"/>
        <v>7611.270768</v>
      </c>
      <c r="J37" s="5">
        <f t="shared" si="11"/>
        <v>16356.64533</v>
      </c>
      <c r="K37" s="5">
        <f t="shared" si="12"/>
        <v>654.2658131</v>
      </c>
      <c r="L37" s="5">
        <f t="shared" si="13"/>
        <v>0</v>
      </c>
      <c r="M37" s="5">
        <f t="shared" si="14"/>
        <v>3755.748124</v>
      </c>
      <c r="N37" s="5">
        <f t="shared" si="15"/>
        <v>3755.587151</v>
      </c>
      <c r="O37" s="5">
        <f t="shared" si="16"/>
        <v>0</v>
      </c>
      <c r="P37" s="5">
        <f t="shared" si="17"/>
        <v>3755.587151</v>
      </c>
      <c r="Q37" s="5">
        <f t="shared" si="18"/>
        <v>863.7850446</v>
      </c>
      <c r="R37" s="5">
        <f t="shared" si="19"/>
        <v>2891.96308</v>
      </c>
      <c r="S37" s="5">
        <f>IFERROR(__xludf.DUMMYFUNCTION("IF(ISBETWEEN(A37,$B$20,$B$20+$B$19-1),$B$21,0)"),5452.215109178511)</f>
        <v>5452.215109</v>
      </c>
      <c r="T37" s="5">
        <f t="shared" si="20"/>
        <v>-2560.252029</v>
      </c>
      <c r="U37" s="5">
        <f t="shared" si="21"/>
        <v>8355.778015</v>
      </c>
      <c r="V37" s="5"/>
    </row>
    <row r="38">
      <c r="A38" s="15">
        <v>10.0</v>
      </c>
      <c r="B38" s="3">
        <f t="shared" si="3"/>
        <v>61822.15848</v>
      </c>
      <c r="C38" s="3">
        <f t="shared" si="4"/>
        <v>1.343916379</v>
      </c>
      <c r="D38" s="5">
        <f t="shared" si="5"/>
        <v>1099.098178</v>
      </c>
      <c r="E38" s="5">
        <f t="shared" si="6"/>
        <v>1099.098178</v>
      </c>
      <c r="F38" s="5">
        <f t="shared" si="7"/>
        <v>1099.098178</v>
      </c>
      <c r="G38" s="5">
        <f t="shared" si="8"/>
        <v>3297.294535</v>
      </c>
      <c r="H38" s="5">
        <f t="shared" si="9"/>
        <v>0.0482921775</v>
      </c>
      <c r="I38" s="5">
        <f t="shared" si="10"/>
        <v>7573.214414</v>
      </c>
      <c r="J38" s="5">
        <f t="shared" si="11"/>
        <v>10904.43022</v>
      </c>
      <c r="K38" s="5">
        <f t="shared" si="12"/>
        <v>436.1772087</v>
      </c>
      <c r="L38" s="5">
        <f t="shared" si="13"/>
        <v>0</v>
      </c>
      <c r="M38" s="5">
        <f t="shared" si="14"/>
        <v>3839.74267</v>
      </c>
      <c r="N38" s="5">
        <f t="shared" si="15"/>
        <v>3839.694378</v>
      </c>
      <c r="O38" s="5">
        <f t="shared" si="16"/>
        <v>0</v>
      </c>
      <c r="P38" s="5">
        <f t="shared" si="17"/>
        <v>3839.694378</v>
      </c>
      <c r="Q38" s="5">
        <f t="shared" si="18"/>
        <v>883.1297069</v>
      </c>
      <c r="R38" s="5">
        <f t="shared" si="19"/>
        <v>2956.612963</v>
      </c>
      <c r="S38" s="5">
        <f>IFERROR(__xludf.DUMMYFUNCTION("IF(ISBETWEEN(A38,$B$20,$B$20+$B$19-1),$B$21,0)"),5452.215109178511)</f>
        <v>5452.215109</v>
      </c>
      <c r="T38" s="5">
        <f t="shared" si="20"/>
        <v>-2495.602146</v>
      </c>
      <c r="U38" s="5">
        <f t="shared" si="21"/>
        <v>5860.175869</v>
      </c>
      <c r="V38" s="5"/>
    </row>
    <row r="39">
      <c r="A39" s="15">
        <v>11.0</v>
      </c>
      <c r="B39" s="3">
        <f t="shared" si="3"/>
        <v>61513.04769</v>
      </c>
      <c r="C39" s="3">
        <f t="shared" si="4"/>
        <v>1.384233871</v>
      </c>
      <c r="D39" s="5">
        <f t="shared" si="5"/>
        <v>1132.071124</v>
      </c>
      <c r="E39" s="5">
        <f t="shared" si="6"/>
        <v>1132.071124</v>
      </c>
      <c r="F39" s="5">
        <f t="shared" si="7"/>
        <v>1132.071124</v>
      </c>
      <c r="G39" s="5">
        <f t="shared" si="8"/>
        <v>3396.213371</v>
      </c>
      <c r="H39" s="5">
        <f t="shared" si="9"/>
        <v>0.01448765325</v>
      </c>
      <c r="I39" s="5">
        <f t="shared" si="10"/>
        <v>7535.348342</v>
      </c>
      <c r="J39" s="5">
        <f t="shared" si="11"/>
        <v>5452.215109</v>
      </c>
      <c r="K39" s="5">
        <f t="shared" si="12"/>
        <v>218.0886044</v>
      </c>
      <c r="L39" s="5">
        <f t="shared" si="13"/>
        <v>0</v>
      </c>
      <c r="M39" s="5">
        <f t="shared" si="14"/>
        <v>3921.046366</v>
      </c>
      <c r="N39" s="5">
        <f t="shared" si="15"/>
        <v>3921.031879</v>
      </c>
      <c r="O39" s="5">
        <f t="shared" si="16"/>
        <v>0</v>
      </c>
      <c r="P39" s="5">
        <f t="shared" si="17"/>
        <v>3921.031879</v>
      </c>
      <c r="Q39" s="5">
        <f t="shared" si="18"/>
        <v>901.8373321</v>
      </c>
      <c r="R39" s="5">
        <f t="shared" si="19"/>
        <v>3019.209034</v>
      </c>
      <c r="S39" s="5">
        <f>IFERROR(__xludf.DUMMYFUNCTION("IF(ISBETWEEN(A39,$B$20,$B$20+$B$19-1),$B$21,0)"),5452.215109178511)</f>
        <v>5452.215109</v>
      </c>
      <c r="T39" s="5">
        <f t="shared" si="20"/>
        <v>-2433.006075</v>
      </c>
      <c r="U39" s="5">
        <f t="shared" si="21"/>
        <v>3427.169794</v>
      </c>
      <c r="V39" s="5"/>
    </row>
    <row r="40">
      <c r="A40" s="15">
        <v>12.0</v>
      </c>
      <c r="B40" s="3">
        <f t="shared" si="3"/>
        <v>61205.48245</v>
      </c>
      <c r="C40" s="3">
        <f t="shared" si="4"/>
        <v>1.425760887</v>
      </c>
      <c r="D40" s="5">
        <f t="shared" si="5"/>
        <v>1166.033257</v>
      </c>
      <c r="E40" s="5">
        <f t="shared" si="6"/>
        <v>1166.033257</v>
      </c>
      <c r="F40" s="5">
        <f t="shared" si="7"/>
        <v>1166.033257</v>
      </c>
      <c r="G40" s="5">
        <f t="shared" si="8"/>
        <v>3498.099772</v>
      </c>
      <c r="H40" s="5">
        <f t="shared" si="9"/>
        <v>0.004346295975</v>
      </c>
      <c r="I40" s="5">
        <f t="shared" si="10"/>
        <v>7497.6716</v>
      </c>
      <c r="J40" s="5">
        <f t="shared" si="11"/>
        <v>0</v>
      </c>
      <c r="K40" s="5">
        <f t="shared" si="12"/>
        <v>0</v>
      </c>
      <c r="L40" s="5">
        <f t="shared" si="13"/>
        <v>0</v>
      </c>
      <c r="M40" s="5">
        <f t="shared" si="14"/>
        <v>3999.571828</v>
      </c>
      <c r="N40" s="5">
        <f t="shared" si="15"/>
        <v>3999.567482</v>
      </c>
      <c r="O40" s="5">
        <f t="shared" si="16"/>
        <v>0</v>
      </c>
      <c r="P40" s="5">
        <f t="shared" si="17"/>
        <v>3999.567482</v>
      </c>
      <c r="Q40" s="5">
        <f t="shared" si="18"/>
        <v>919.9005208</v>
      </c>
      <c r="R40" s="5">
        <f t="shared" si="19"/>
        <v>3079.671307</v>
      </c>
      <c r="S40" s="5">
        <f>IFERROR(__xludf.DUMMYFUNCTION("IF(ISBETWEEN(A40,$B$20,$B$20+$B$19-1),$B$21,0)"),5452.215109178511)</f>
        <v>5452.215109</v>
      </c>
      <c r="T40" s="5">
        <f t="shared" si="20"/>
        <v>-2372.543802</v>
      </c>
      <c r="U40" s="5">
        <f t="shared" si="21"/>
        <v>1054.625992</v>
      </c>
      <c r="V40" s="5"/>
    </row>
    <row r="41">
      <c r="A41" s="15">
        <v>13.0</v>
      </c>
      <c r="B41" s="3">
        <f t="shared" si="3"/>
        <v>60899.45504</v>
      </c>
      <c r="C41" s="3">
        <f t="shared" si="4"/>
        <v>1.468533713</v>
      </c>
      <c r="D41" s="5">
        <f t="shared" si="5"/>
        <v>1201.014255</v>
      </c>
      <c r="E41" s="5">
        <f t="shared" si="6"/>
        <v>1201.014255</v>
      </c>
      <c r="F41" s="5">
        <f t="shared" si="7"/>
        <v>1201.014255</v>
      </c>
      <c r="G41" s="5">
        <f t="shared" si="8"/>
        <v>3603.042765</v>
      </c>
      <c r="H41" s="5">
        <f t="shared" si="9"/>
        <v>0.001303888792</v>
      </c>
      <c r="I41" s="5">
        <f t="shared" si="10"/>
        <v>7460.183242</v>
      </c>
      <c r="J41" s="5">
        <f t="shared" si="11"/>
        <v>0</v>
      </c>
      <c r="K41" s="5">
        <f t="shared" si="12"/>
        <v>0</v>
      </c>
      <c r="L41" s="5">
        <f t="shared" si="13"/>
        <v>0</v>
      </c>
      <c r="M41" s="5">
        <f t="shared" si="14"/>
        <v>3857.140477</v>
      </c>
      <c r="N41" s="5">
        <f t="shared" si="15"/>
        <v>3857.139173</v>
      </c>
      <c r="O41" s="5">
        <f t="shared" si="16"/>
        <v>0</v>
      </c>
      <c r="P41" s="5">
        <f t="shared" si="17"/>
        <v>3857.139173</v>
      </c>
      <c r="Q41" s="5">
        <f t="shared" si="18"/>
        <v>887.1420097</v>
      </c>
      <c r="R41" s="5">
        <f t="shared" si="19"/>
        <v>2969.998467</v>
      </c>
      <c r="S41" s="5">
        <f>IFERROR(__xludf.DUMMYFUNCTION("IF(ISBETWEEN(A41,$B$20,$B$20+$B$19-1),$B$21,0)"),0.0)</f>
        <v>0</v>
      </c>
      <c r="T41" s="5">
        <f t="shared" si="20"/>
        <v>2969.998467</v>
      </c>
      <c r="U41" s="5">
        <f t="shared" si="21"/>
        <v>4024.624459</v>
      </c>
      <c r="V41" s="5"/>
    </row>
    <row r="42">
      <c r="A42" s="15">
        <v>14.0</v>
      </c>
      <c r="B42" s="3">
        <f t="shared" si="3"/>
        <v>60594.95776</v>
      </c>
      <c r="C42" s="3">
        <f t="shared" si="4"/>
        <v>1.512589725</v>
      </c>
      <c r="D42" s="5">
        <f t="shared" si="5"/>
        <v>1237.044683</v>
      </c>
      <c r="E42" s="5">
        <f t="shared" si="6"/>
        <v>1237.044683</v>
      </c>
      <c r="F42" s="5">
        <f t="shared" si="7"/>
        <v>1237.044683</v>
      </c>
      <c r="G42" s="5">
        <f t="shared" si="8"/>
        <v>3711.134048</v>
      </c>
      <c r="H42" s="5">
        <f t="shared" si="9"/>
        <v>0.0003911666377</v>
      </c>
      <c r="I42" s="5">
        <f t="shared" si="10"/>
        <v>7422.882326</v>
      </c>
      <c r="J42" s="5">
        <f t="shared" si="11"/>
        <v>0</v>
      </c>
      <c r="K42" s="5">
        <f t="shared" si="12"/>
        <v>0</v>
      </c>
      <c r="L42" s="5">
        <f t="shared" si="13"/>
        <v>0</v>
      </c>
      <c r="M42" s="5">
        <f t="shared" si="14"/>
        <v>3711.748278</v>
      </c>
      <c r="N42" s="5">
        <f t="shared" si="15"/>
        <v>3711.747886</v>
      </c>
      <c r="O42" s="5">
        <f t="shared" si="16"/>
        <v>0</v>
      </c>
      <c r="P42" s="5">
        <f t="shared" si="17"/>
        <v>3711.747886</v>
      </c>
      <c r="Q42" s="5">
        <f t="shared" si="18"/>
        <v>853.7020139</v>
      </c>
      <c r="R42" s="5">
        <f t="shared" si="19"/>
        <v>2858.046264</v>
      </c>
      <c r="S42" s="5">
        <f>IFERROR(__xludf.DUMMYFUNCTION("IF(ISBETWEEN(A42,$B$20,$B$20+$B$19-1),$B$21,0)"),0.0)</f>
        <v>0</v>
      </c>
      <c r="T42" s="5">
        <f t="shared" si="20"/>
        <v>2858.046264</v>
      </c>
      <c r="U42" s="5">
        <f t="shared" si="21"/>
        <v>6882.670722</v>
      </c>
      <c r="V42" s="5"/>
    </row>
    <row r="43">
      <c r="A43" s="15">
        <v>15.0</v>
      </c>
      <c r="B43" s="3">
        <f t="shared" si="3"/>
        <v>60291.98297</v>
      </c>
      <c r="C43" s="3">
        <f t="shared" si="4"/>
        <v>1.557967417</v>
      </c>
      <c r="D43" s="5">
        <f t="shared" si="5"/>
        <v>1274.156023</v>
      </c>
      <c r="E43" s="5">
        <f t="shared" si="6"/>
        <v>1274.156023</v>
      </c>
      <c r="F43" s="5">
        <f t="shared" si="7"/>
        <v>1274.156023</v>
      </c>
      <c r="G43" s="5">
        <f t="shared" si="8"/>
        <v>3822.46807</v>
      </c>
      <c r="H43" s="5">
        <f t="shared" si="9"/>
        <v>0.0001173499913</v>
      </c>
      <c r="I43" s="5">
        <f t="shared" si="10"/>
        <v>7385.767914</v>
      </c>
      <c r="J43" s="5">
        <f t="shared" si="11"/>
        <v>0</v>
      </c>
      <c r="K43" s="5">
        <f t="shared" si="12"/>
        <v>0</v>
      </c>
      <c r="L43" s="5">
        <f t="shared" si="13"/>
        <v>0</v>
      </c>
      <c r="M43" s="5">
        <f t="shared" si="14"/>
        <v>3563.299844</v>
      </c>
      <c r="N43" s="5">
        <f t="shared" si="15"/>
        <v>3563.299727</v>
      </c>
      <c r="O43" s="5">
        <f t="shared" si="16"/>
        <v>0</v>
      </c>
      <c r="P43" s="5">
        <f t="shared" si="17"/>
        <v>3563.299727</v>
      </c>
      <c r="Q43" s="5">
        <f t="shared" si="18"/>
        <v>819.5589372</v>
      </c>
      <c r="R43" s="5">
        <f t="shared" si="19"/>
        <v>2743.740907</v>
      </c>
      <c r="S43" s="5">
        <f>IFERROR(__xludf.DUMMYFUNCTION("IF(ISBETWEEN(A43,$B$20,$B$20+$B$19-1),$B$21,0)"),0.0)</f>
        <v>0</v>
      </c>
      <c r="T43" s="5">
        <f t="shared" si="20"/>
        <v>2743.740907</v>
      </c>
      <c r="U43" s="5">
        <f t="shared" si="21"/>
        <v>9626.411629</v>
      </c>
      <c r="V43" s="5"/>
    </row>
    <row r="44">
      <c r="A44" s="15">
        <v>16.0</v>
      </c>
      <c r="B44" s="3">
        <f t="shared" si="3"/>
        <v>59990.52306</v>
      </c>
      <c r="C44" s="3">
        <f t="shared" si="4"/>
        <v>1.604706439</v>
      </c>
      <c r="D44" s="5">
        <f t="shared" si="5"/>
        <v>1312.380704</v>
      </c>
      <c r="E44" s="5">
        <f t="shared" si="6"/>
        <v>1312.380704</v>
      </c>
      <c r="F44" s="5">
        <f t="shared" si="7"/>
        <v>1312.380704</v>
      </c>
      <c r="G44" s="5">
        <f t="shared" si="8"/>
        <v>3937.142112</v>
      </c>
      <c r="H44" s="5">
        <f t="shared" si="9"/>
        <v>0.0000352049974</v>
      </c>
      <c r="I44" s="5">
        <f t="shared" si="10"/>
        <v>7348.839075</v>
      </c>
      <c r="J44" s="5">
        <f t="shared" si="11"/>
        <v>0</v>
      </c>
      <c r="K44" s="5">
        <f t="shared" si="12"/>
        <v>0</v>
      </c>
      <c r="L44" s="5">
        <f t="shared" si="13"/>
        <v>0</v>
      </c>
      <c r="M44" s="5">
        <f t="shared" si="14"/>
        <v>3411.696963</v>
      </c>
      <c r="N44" s="5">
        <f t="shared" si="15"/>
        <v>3411.696928</v>
      </c>
      <c r="O44" s="5">
        <f t="shared" si="16"/>
        <v>0</v>
      </c>
      <c r="P44" s="5">
        <f t="shared" si="17"/>
        <v>3411.696928</v>
      </c>
      <c r="Q44" s="5">
        <f t="shared" si="18"/>
        <v>784.6902933</v>
      </c>
      <c r="R44" s="5">
        <f t="shared" si="19"/>
        <v>2627.006669</v>
      </c>
      <c r="S44" s="5">
        <f>IFERROR(__xludf.DUMMYFUNCTION("IF(ISBETWEEN(A44,$B$20,$B$20+$B$19-1),$B$21,0)"),0.0)</f>
        <v>0</v>
      </c>
      <c r="T44" s="5">
        <f t="shared" si="20"/>
        <v>2627.006669</v>
      </c>
      <c r="U44" s="5">
        <f t="shared" si="21"/>
        <v>12253.4183</v>
      </c>
      <c r="V44" s="5"/>
    </row>
    <row r="45">
      <c r="A45" s="15">
        <v>17.0</v>
      </c>
      <c r="B45" s="3">
        <f t="shared" si="3"/>
        <v>59690.57044</v>
      </c>
      <c r="C45" s="3">
        <f t="shared" si="4"/>
        <v>1.652847632</v>
      </c>
      <c r="D45" s="5">
        <f t="shared" si="5"/>
        <v>1351.752125</v>
      </c>
      <c r="E45" s="5">
        <f t="shared" si="6"/>
        <v>1351.752125</v>
      </c>
      <c r="F45" s="5">
        <f t="shared" si="7"/>
        <v>1351.752125</v>
      </c>
      <c r="G45" s="5">
        <f t="shared" si="8"/>
        <v>4055.256375</v>
      </c>
      <c r="H45" s="5">
        <f t="shared" si="9"/>
        <v>0.00001056149922</v>
      </c>
      <c r="I45" s="5">
        <f t="shared" si="10"/>
        <v>7312.094879</v>
      </c>
      <c r="J45" s="5">
        <f t="shared" si="11"/>
        <v>0</v>
      </c>
      <c r="K45" s="5">
        <f t="shared" si="12"/>
        <v>0</v>
      </c>
      <c r="L45" s="5">
        <f t="shared" si="13"/>
        <v>0</v>
      </c>
      <c r="M45" s="5">
        <f t="shared" si="14"/>
        <v>3256.838504</v>
      </c>
      <c r="N45" s="5">
        <f t="shared" si="15"/>
        <v>3256.838493</v>
      </c>
      <c r="O45" s="5">
        <f t="shared" si="16"/>
        <v>0</v>
      </c>
      <c r="P45" s="5">
        <f t="shared" si="17"/>
        <v>3256.838493</v>
      </c>
      <c r="Q45" s="5">
        <f t="shared" si="18"/>
        <v>749.0728535</v>
      </c>
      <c r="R45" s="5">
        <f t="shared" si="19"/>
        <v>2507.765651</v>
      </c>
      <c r="S45" s="5">
        <f>IFERROR(__xludf.DUMMYFUNCTION("IF(ISBETWEEN(A45,$B$20,$B$20+$B$19-1),$B$21,0)"),0.0)</f>
        <v>0</v>
      </c>
      <c r="T45" s="5">
        <f t="shared" si="20"/>
        <v>2507.765651</v>
      </c>
      <c r="U45" s="5">
        <f t="shared" si="21"/>
        <v>14761.18395</v>
      </c>
      <c r="V45" s="5"/>
    </row>
    <row r="46">
      <c r="A46" s="15">
        <v>18.0</v>
      </c>
      <c r="B46" s="3">
        <f t="shared" si="3"/>
        <v>59392.11759</v>
      </c>
      <c r="C46" s="3">
        <f t="shared" si="4"/>
        <v>1.702433061</v>
      </c>
      <c r="D46" s="5">
        <f t="shared" si="5"/>
        <v>1392.304689</v>
      </c>
      <c r="E46" s="5">
        <f t="shared" si="6"/>
        <v>1392.304689</v>
      </c>
      <c r="F46" s="5">
        <f t="shared" si="7"/>
        <v>1392.304689</v>
      </c>
      <c r="G46" s="5">
        <f t="shared" si="8"/>
        <v>4176.914066</v>
      </c>
      <c r="H46" s="5">
        <f t="shared" si="9"/>
        <v>0.000003168449766</v>
      </c>
      <c r="I46" s="5">
        <f t="shared" si="10"/>
        <v>7275.534405</v>
      </c>
      <c r="J46" s="5">
        <f t="shared" si="11"/>
        <v>0</v>
      </c>
      <c r="K46" s="5">
        <f t="shared" si="12"/>
        <v>0</v>
      </c>
      <c r="L46" s="5">
        <f t="shared" si="13"/>
        <v>0</v>
      </c>
      <c r="M46" s="5">
        <f t="shared" si="14"/>
        <v>3098.620338</v>
      </c>
      <c r="N46" s="5">
        <f t="shared" si="15"/>
        <v>3098.620335</v>
      </c>
      <c r="O46" s="5">
        <f t="shared" si="16"/>
        <v>0</v>
      </c>
      <c r="P46" s="5">
        <f t="shared" si="17"/>
        <v>3098.620335</v>
      </c>
      <c r="Q46" s="5">
        <f t="shared" si="18"/>
        <v>712.6826771</v>
      </c>
      <c r="R46" s="5">
        <f t="shared" si="19"/>
        <v>2385.937661</v>
      </c>
      <c r="S46" s="5">
        <f>IFERROR(__xludf.DUMMYFUNCTION("IF(ISBETWEEN(A46,$B$20,$B$20+$B$19-1),$B$21,0)"),0.0)</f>
        <v>0</v>
      </c>
      <c r="T46" s="5">
        <f t="shared" si="20"/>
        <v>2385.937661</v>
      </c>
      <c r="U46" s="5">
        <f t="shared" si="21"/>
        <v>17147.12161</v>
      </c>
      <c r="V46" s="5"/>
    </row>
    <row r="47">
      <c r="A47" s="15">
        <v>19.0</v>
      </c>
      <c r="B47" s="3">
        <f t="shared" si="3"/>
        <v>59095.157</v>
      </c>
      <c r="C47" s="3">
        <f t="shared" si="4"/>
        <v>1.753506053</v>
      </c>
      <c r="D47" s="5">
        <f t="shared" si="5"/>
        <v>1434.073829</v>
      </c>
      <c r="E47" s="5">
        <f t="shared" si="6"/>
        <v>1434.073829</v>
      </c>
      <c r="F47" s="5">
        <f t="shared" si="7"/>
        <v>1434.073829</v>
      </c>
      <c r="G47" s="5">
        <f t="shared" si="8"/>
        <v>4302.221488</v>
      </c>
      <c r="H47" s="5">
        <f t="shared" si="9"/>
        <v>0.0000009505349297</v>
      </c>
      <c r="I47" s="5">
        <f t="shared" si="10"/>
        <v>7239.156733</v>
      </c>
      <c r="J47" s="5">
        <f t="shared" si="11"/>
        <v>0</v>
      </c>
      <c r="K47" s="5">
        <f t="shared" si="12"/>
        <v>0</v>
      </c>
      <c r="L47" s="5">
        <f t="shared" si="13"/>
        <v>0</v>
      </c>
      <c r="M47" s="5">
        <f t="shared" si="14"/>
        <v>2936.935244</v>
      </c>
      <c r="N47" s="5">
        <f t="shared" si="15"/>
        <v>2936.935243</v>
      </c>
      <c r="O47" s="5">
        <f t="shared" si="16"/>
        <v>0</v>
      </c>
      <c r="P47" s="5">
        <f t="shared" si="17"/>
        <v>2936.935243</v>
      </c>
      <c r="Q47" s="5">
        <f t="shared" si="18"/>
        <v>675.495106</v>
      </c>
      <c r="R47" s="5">
        <f t="shared" si="19"/>
        <v>2261.440138</v>
      </c>
      <c r="S47" s="5">
        <f>IFERROR(__xludf.DUMMYFUNCTION("IF(ISBETWEEN(A47,$B$20,$B$20+$B$19-1),$B$21,0)"),0.0)</f>
        <v>0</v>
      </c>
      <c r="T47" s="5">
        <f t="shared" si="20"/>
        <v>2261.440138</v>
      </c>
      <c r="U47" s="5">
        <f t="shared" si="21"/>
        <v>19408.56175</v>
      </c>
      <c r="V47" s="5"/>
    </row>
    <row r="48">
      <c r="A48" s="15">
        <v>20.0</v>
      </c>
      <c r="B48" s="3">
        <f t="shared" si="3"/>
        <v>58799.68122</v>
      </c>
      <c r="C48" s="3">
        <f t="shared" si="4"/>
        <v>1.806111235</v>
      </c>
      <c r="D48" s="5">
        <f t="shared" si="5"/>
        <v>1477.096044</v>
      </c>
      <c r="E48" s="5">
        <f t="shared" si="6"/>
        <v>1477.096044</v>
      </c>
      <c r="F48" s="5">
        <f t="shared" si="7"/>
        <v>1477.096044</v>
      </c>
      <c r="G48" s="5">
        <f t="shared" si="8"/>
        <v>4431.288133</v>
      </c>
      <c r="H48" s="5">
        <f t="shared" si="9"/>
        <v>0.0000002851604789</v>
      </c>
      <c r="I48" s="5">
        <f t="shared" si="10"/>
        <v>7202.960949</v>
      </c>
      <c r="J48" s="5">
        <f t="shared" si="11"/>
        <v>0</v>
      </c>
      <c r="K48" s="5">
        <f t="shared" si="12"/>
        <v>0</v>
      </c>
      <c r="L48" s="5">
        <f t="shared" si="13"/>
        <v>0</v>
      </c>
      <c r="M48" s="5">
        <f t="shared" si="14"/>
        <v>2771.672816</v>
      </c>
      <c r="N48" s="5">
        <f t="shared" si="15"/>
        <v>2771.672816</v>
      </c>
      <c r="O48" s="5">
        <f t="shared" si="16"/>
        <v>0</v>
      </c>
      <c r="P48" s="5">
        <f t="shared" si="17"/>
        <v>2771.672816</v>
      </c>
      <c r="Q48" s="5">
        <f t="shared" si="18"/>
        <v>637.4847476</v>
      </c>
      <c r="R48" s="5">
        <f t="shared" si="19"/>
        <v>2134.188068</v>
      </c>
      <c r="S48" s="5">
        <f>IFERROR(__xludf.DUMMYFUNCTION("IF(ISBETWEEN(A48,$B$20,$B$20+$B$19-1),$B$21,0)"),0.0)</f>
        <v>0</v>
      </c>
      <c r="T48" s="5">
        <f t="shared" si="20"/>
        <v>2134.188068</v>
      </c>
      <c r="U48" s="5">
        <f t="shared" si="21"/>
        <v>21542.74982</v>
      </c>
      <c r="V48" s="5"/>
    </row>
    <row r="49">
      <c r="A49" s="15">
        <v>21.0</v>
      </c>
      <c r="B49" s="3">
        <f t="shared" si="3"/>
        <v>58505.68281</v>
      </c>
      <c r="C49" s="3">
        <f t="shared" si="4"/>
        <v>1.860294572</v>
      </c>
      <c r="D49" s="5">
        <f t="shared" si="5"/>
        <v>1521.408926</v>
      </c>
      <c r="E49" s="5">
        <f t="shared" si="6"/>
        <v>1521.408926</v>
      </c>
      <c r="F49" s="5">
        <f t="shared" si="7"/>
        <v>1521.408926</v>
      </c>
      <c r="G49" s="5">
        <f t="shared" si="8"/>
        <v>4564.226777</v>
      </c>
      <c r="H49" s="5">
        <f t="shared" si="9"/>
        <v>0.00000008554814367</v>
      </c>
      <c r="I49" s="5">
        <f t="shared" si="10"/>
        <v>7166.946144</v>
      </c>
      <c r="J49" s="5">
        <f t="shared" si="11"/>
        <v>0</v>
      </c>
      <c r="K49" s="5">
        <f t="shared" si="12"/>
        <v>0</v>
      </c>
      <c r="L49" s="5">
        <f t="shared" si="13"/>
        <v>0</v>
      </c>
      <c r="M49" s="5">
        <f t="shared" si="14"/>
        <v>2602.719367</v>
      </c>
      <c r="N49" s="5">
        <f t="shared" si="15"/>
        <v>2602.719367</v>
      </c>
      <c r="O49" s="5">
        <f t="shared" si="16"/>
        <v>0</v>
      </c>
      <c r="P49" s="5">
        <f t="shared" si="17"/>
        <v>2602.719367</v>
      </c>
      <c r="Q49" s="5">
        <f t="shared" si="18"/>
        <v>598.6254545</v>
      </c>
      <c r="R49" s="5">
        <f t="shared" si="19"/>
        <v>2004.093913</v>
      </c>
      <c r="S49" s="5">
        <f>IFERROR(__xludf.DUMMYFUNCTION("IF(ISBETWEEN(A49,$B$20,$B$20+$B$19-1),$B$21,0)"),0.0)</f>
        <v>0</v>
      </c>
      <c r="T49" s="5">
        <f t="shared" si="20"/>
        <v>2004.093913</v>
      </c>
      <c r="U49" s="5">
        <f t="shared" si="21"/>
        <v>23546.84373</v>
      </c>
      <c r="V49" s="5"/>
    </row>
    <row r="50">
      <c r="A50" s="15">
        <v>22.0</v>
      </c>
      <c r="B50" s="3">
        <f t="shared" si="3"/>
        <v>58213.1544</v>
      </c>
      <c r="C50" s="3">
        <f t="shared" si="4"/>
        <v>1.916103409</v>
      </c>
      <c r="D50" s="5">
        <f t="shared" si="5"/>
        <v>1567.051193</v>
      </c>
      <c r="E50" s="5">
        <f t="shared" si="6"/>
        <v>1567.051193</v>
      </c>
      <c r="F50" s="5">
        <f t="shared" si="7"/>
        <v>1567.051193</v>
      </c>
      <c r="G50" s="5">
        <f t="shared" si="8"/>
        <v>4701.15358</v>
      </c>
      <c r="H50" s="5">
        <f t="shared" si="9"/>
        <v>0.0000000256644431</v>
      </c>
      <c r="I50" s="5">
        <f t="shared" si="10"/>
        <v>7131.111414</v>
      </c>
      <c r="J50" s="5">
        <f t="shared" si="11"/>
        <v>0</v>
      </c>
      <c r="K50" s="5">
        <f t="shared" si="12"/>
        <v>0</v>
      </c>
      <c r="L50" s="5">
        <f t="shared" si="13"/>
        <v>0</v>
      </c>
      <c r="M50" s="5">
        <f t="shared" si="14"/>
        <v>2429.957833</v>
      </c>
      <c r="N50" s="5">
        <f t="shared" si="15"/>
        <v>2429.957833</v>
      </c>
      <c r="O50" s="5">
        <f t="shared" si="16"/>
        <v>0</v>
      </c>
      <c r="P50" s="5">
        <f t="shared" si="17"/>
        <v>2429.957833</v>
      </c>
      <c r="Q50" s="5">
        <f t="shared" si="18"/>
        <v>558.8903016</v>
      </c>
      <c r="R50" s="5">
        <f t="shared" si="19"/>
        <v>1871.067532</v>
      </c>
      <c r="S50" s="5">
        <f>IFERROR(__xludf.DUMMYFUNCTION("IF(ISBETWEEN(A50,$B$20,$B$20+$B$19-1),$B$21,0)"),0.0)</f>
        <v>0</v>
      </c>
      <c r="T50" s="5">
        <f t="shared" si="20"/>
        <v>1871.067532</v>
      </c>
      <c r="U50" s="5">
        <f t="shared" si="21"/>
        <v>25417.91126</v>
      </c>
      <c r="V50" s="5"/>
    </row>
    <row r="51">
      <c r="A51" s="15">
        <v>23.0</v>
      </c>
      <c r="B51" s="3">
        <f t="shared" si="3"/>
        <v>57922.08863</v>
      </c>
      <c r="C51" s="3">
        <f t="shared" si="4"/>
        <v>1.973586511</v>
      </c>
      <c r="D51" s="5">
        <f t="shared" si="5"/>
        <v>1614.062729</v>
      </c>
      <c r="E51" s="5">
        <f t="shared" si="6"/>
        <v>1614.062729</v>
      </c>
      <c r="F51" s="5">
        <f t="shared" si="7"/>
        <v>1614.062729</v>
      </c>
      <c r="G51" s="5">
        <f t="shared" si="8"/>
        <v>4842.188188</v>
      </c>
      <c r="H51" s="5">
        <f t="shared" si="9"/>
        <v>0.00000000769933293</v>
      </c>
      <c r="I51" s="5">
        <f t="shared" si="10"/>
        <v>7095.455857</v>
      </c>
      <c r="J51" s="5">
        <f t="shared" si="11"/>
        <v>0</v>
      </c>
      <c r="K51" s="5">
        <f t="shared" si="12"/>
        <v>0</v>
      </c>
      <c r="L51" s="5">
        <f t="shared" si="13"/>
        <v>0</v>
      </c>
      <c r="M51" s="5">
        <f t="shared" si="14"/>
        <v>2253.267669</v>
      </c>
      <c r="N51" s="5">
        <f t="shared" si="15"/>
        <v>2253.267669</v>
      </c>
      <c r="O51" s="5">
        <f t="shared" si="16"/>
        <v>0</v>
      </c>
      <c r="P51" s="5">
        <f t="shared" si="17"/>
        <v>2253.267669</v>
      </c>
      <c r="Q51" s="5">
        <f t="shared" si="18"/>
        <v>518.2515638</v>
      </c>
      <c r="R51" s="5">
        <f t="shared" si="19"/>
        <v>1735.016105</v>
      </c>
      <c r="S51" s="5">
        <f>IFERROR(__xludf.DUMMYFUNCTION("IF(ISBETWEEN(A51,$B$20,$B$20+$B$19-1),$B$21,0)"),0.0)</f>
        <v>0</v>
      </c>
      <c r="T51" s="5">
        <f t="shared" si="20"/>
        <v>1735.016105</v>
      </c>
      <c r="U51" s="5">
        <f t="shared" si="21"/>
        <v>27152.92737</v>
      </c>
      <c r="V51" s="5"/>
    </row>
    <row r="52">
      <c r="A52" s="15">
        <v>24.0</v>
      </c>
      <c r="B52" s="3">
        <f t="shared" si="3"/>
        <v>57632.47818</v>
      </c>
      <c r="C52" s="3">
        <f t="shared" si="4"/>
        <v>2.032794106</v>
      </c>
      <c r="D52" s="5">
        <f t="shared" si="5"/>
        <v>1662.484611</v>
      </c>
      <c r="E52" s="5">
        <f t="shared" si="6"/>
        <v>1662.484611</v>
      </c>
      <c r="F52" s="5">
        <f t="shared" si="7"/>
        <v>1662.484611</v>
      </c>
      <c r="G52" s="5">
        <f t="shared" si="8"/>
        <v>4987.453833</v>
      </c>
      <c r="H52" s="5">
        <f t="shared" si="9"/>
        <v>0.000000002309799879</v>
      </c>
      <c r="I52" s="5">
        <f t="shared" si="10"/>
        <v>7059.978577</v>
      </c>
      <c r="J52" s="5">
        <f t="shared" si="11"/>
        <v>0</v>
      </c>
      <c r="K52" s="5">
        <f t="shared" si="12"/>
        <v>0</v>
      </c>
      <c r="L52" s="5">
        <f t="shared" si="13"/>
        <v>0</v>
      </c>
      <c r="M52" s="5">
        <f t="shared" si="14"/>
        <v>2072.524744</v>
      </c>
      <c r="N52" s="5">
        <f t="shared" si="15"/>
        <v>2072.524744</v>
      </c>
      <c r="O52" s="5">
        <f t="shared" si="16"/>
        <v>0</v>
      </c>
      <c r="P52" s="5">
        <f t="shared" si="17"/>
        <v>2072.524744</v>
      </c>
      <c r="Q52" s="5">
        <f t="shared" si="18"/>
        <v>476.6806911</v>
      </c>
      <c r="R52" s="5">
        <f t="shared" si="19"/>
        <v>1595.844053</v>
      </c>
      <c r="S52" s="5">
        <f>IFERROR(__xludf.DUMMYFUNCTION("IF(ISBETWEEN(A52,$B$20,$B$20+$B$19-1),$B$21,0)"),0.0)</f>
        <v>0</v>
      </c>
      <c r="T52" s="5">
        <f t="shared" si="20"/>
        <v>1595.844053</v>
      </c>
      <c r="U52" s="5">
        <f t="shared" si="21"/>
        <v>28748.77142</v>
      </c>
      <c r="V52" s="5"/>
    </row>
    <row r="53">
      <c r="B53" s="3">
        <f>SUM(B28:B52)</f>
        <v>1531136.842</v>
      </c>
      <c r="D53" s="5">
        <f t="shared" ref="D53:I53" si="22">SUM(D28:D52)</f>
        <v>29817.56277</v>
      </c>
      <c r="E53" s="5">
        <f t="shared" si="22"/>
        <v>29817.56277</v>
      </c>
      <c r="F53" s="5">
        <f t="shared" si="22"/>
        <v>29817.56277</v>
      </c>
      <c r="G53" s="5">
        <f t="shared" si="22"/>
        <v>89452.68831</v>
      </c>
      <c r="H53" s="11">
        <f t="shared" si="22"/>
        <v>11683.31809</v>
      </c>
      <c r="I53" s="11">
        <f t="shared" si="22"/>
        <v>187564.2631</v>
      </c>
      <c r="K53" s="5">
        <f t="shared" ref="K53:M53" si="23">SUM(K28:K52)</f>
        <v>9813.987197</v>
      </c>
      <c r="L53" s="5">
        <f t="shared" si="23"/>
        <v>16356.64533</v>
      </c>
      <c r="M53" s="9">
        <f t="shared" si="23"/>
        <v>104654.2329</v>
      </c>
      <c r="Q53" s="5">
        <f t="shared" ref="Q53:T53" si="24">SUM(Q28:Q52)</f>
        <v>21383.31041</v>
      </c>
      <c r="R53" s="5">
        <f t="shared" si="24"/>
        <v>83270.92251</v>
      </c>
      <c r="S53" s="16">
        <f t="shared" si="24"/>
        <v>54522.15109</v>
      </c>
      <c r="T53" s="5">
        <f t="shared" si="24"/>
        <v>28748.77142</v>
      </c>
    </row>
    <row r="54">
      <c r="I54" s="6"/>
    </row>
    <row r="55">
      <c r="H55" s="6"/>
      <c r="I55" s="6"/>
    </row>
    <row r="56">
      <c r="H56" s="6"/>
    </row>
    <row r="57">
      <c r="H57" s="6"/>
      <c r="I57" s="6"/>
    </row>
    <row r="58">
      <c r="H58" s="6"/>
      <c r="I58" s="6"/>
    </row>
    <row r="59">
      <c r="H59" s="6"/>
      <c r="I59" s="6"/>
    </row>
    <row r="60">
      <c r="H60" s="6"/>
      <c r="I60" s="6"/>
    </row>
    <row r="61">
      <c r="B61" s="17"/>
      <c r="D61" s="18"/>
      <c r="H61" s="6"/>
      <c r="I61" s="6"/>
    </row>
    <row r="62">
      <c r="H62" s="6"/>
      <c r="I62" s="6"/>
    </row>
    <row r="63">
      <c r="H63" s="6"/>
      <c r="I63" s="6"/>
    </row>
    <row r="64">
      <c r="H64" s="6"/>
      <c r="I64" s="6"/>
    </row>
    <row r="65">
      <c r="H65" s="6"/>
      <c r="I65" s="6"/>
    </row>
    <row r="66">
      <c r="H66" s="6"/>
      <c r="I66" s="6"/>
    </row>
    <row r="67">
      <c r="H67" s="6"/>
      <c r="I67" s="6"/>
    </row>
    <row r="68">
      <c r="H68" s="6"/>
      <c r="I68" s="6"/>
    </row>
    <row r="69">
      <c r="H69" s="6"/>
      <c r="I69" s="6"/>
    </row>
    <row r="70">
      <c r="H70" s="6"/>
      <c r="I70" s="6"/>
    </row>
    <row r="71">
      <c r="H71" s="6"/>
      <c r="I71" s="6"/>
    </row>
    <row r="72">
      <c r="H72" s="6"/>
      <c r="I72" s="6"/>
    </row>
    <row r="73">
      <c r="H73" s="6"/>
      <c r="I73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67</v>
      </c>
      <c r="B1" s="1">
        <v>0.068</v>
      </c>
    </row>
    <row r="2">
      <c r="A2" s="1" t="s">
        <v>68</v>
      </c>
      <c r="B2" s="1">
        <v>25.0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3" max="3" width="25.13"/>
  </cols>
  <sheetData>
    <row r="1">
      <c r="A1" s="1" t="s">
        <v>69</v>
      </c>
      <c r="B1" s="1" t="s">
        <v>70</v>
      </c>
      <c r="C1" s="1" t="s">
        <v>71</v>
      </c>
      <c r="D1" s="1" t="s">
        <v>72</v>
      </c>
    </row>
    <row r="2">
      <c r="A2" s="1" t="s">
        <v>73</v>
      </c>
      <c r="B2" s="1" t="s">
        <v>74</v>
      </c>
      <c r="C2" s="1" t="s">
        <v>75</v>
      </c>
      <c r="D2" s="1">
        <v>9.591923</v>
      </c>
    </row>
    <row r="3">
      <c r="A3" s="1" t="s">
        <v>73</v>
      </c>
      <c r="B3" s="1" t="s">
        <v>74</v>
      </c>
      <c r="C3" s="1" t="s">
        <v>76</v>
      </c>
      <c r="D3" s="1">
        <v>0.065117</v>
      </c>
    </row>
    <row r="4">
      <c r="A4" s="1" t="s">
        <v>73</v>
      </c>
      <c r="B4" s="1" t="s">
        <v>74</v>
      </c>
      <c r="C4" s="1" t="s">
        <v>77</v>
      </c>
      <c r="D4" s="1">
        <v>0.062763</v>
      </c>
    </row>
    <row r="5">
      <c r="A5" s="1" t="s">
        <v>73</v>
      </c>
      <c r="B5" s="1" t="s">
        <v>78</v>
      </c>
      <c r="C5" s="1" t="s">
        <v>79</v>
      </c>
      <c r="D5" s="1">
        <v>0.266159</v>
      </c>
    </row>
    <row r="6">
      <c r="A6" s="1" t="s">
        <v>73</v>
      </c>
      <c r="B6" s="1" t="s">
        <v>78</v>
      </c>
      <c r="C6" s="1" t="s">
        <v>80</v>
      </c>
      <c r="D6" s="1">
        <v>0.009162</v>
      </c>
    </row>
    <row r="7">
      <c r="A7" s="1" t="s">
        <v>81</v>
      </c>
      <c r="B7" s="1" t="s">
        <v>74</v>
      </c>
      <c r="C7" s="1" t="s">
        <v>75</v>
      </c>
      <c r="D7" s="1">
        <v>1.725485</v>
      </c>
    </row>
    <row r="8">
      <c r="A8" s="1" t="s">
        <v>81</v>
      </c>
      <c r="B8" s="1" t="s">
        <v>74</v>
      </c>
      <c r="C8" s="1" t="s">
        <v>82</v>
      </c>
      <c r="D8" s="1">
        <v>0.012953</v>
      </c>
    </row>
    <row r="9">
      <c r="A9" s="1" t="s">
        <v>81</v>
      </c>
      <c r="B9" s="1" t="s">
        <v>78</v>
      </c>
      <c r="C9" s="1" t="s">
        <v>80</v>
      </c>
      <c r="D9" s="1">
        <v>0.030251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31.63"/>
  </cols>
  <sheetData>
    <row r="1">
      <c r="A1" s="19" t="s">
        <v>83</v>
      </c>
      <c r="B1" s="19" t="s">
        <v>84</v>
      </c>
      <c r="C1" s="19" t="s">
        <v>85</v>
      </c>
      <c r="D1" s="19" t="s">
        <v>86</v>
      </c>
      <c r="E1" s="19" t="s">
        <v>87</v>
      </c>
      <c r="F1" s="20" t="s">
        <v>88</v>
      </c>
      <c r="G1" s="20" t="s">
        <v>89</v>
      </c>
      <c r="H1" s="1" t="s">
        <v>90</v>
      </c>
      <c r="I1" s="1" t="s">
        <v>91</v>
      </c>
      <c r="J1" s="1" t="s">
        <v>92</v>
      </c>
      <c r="K1" s="1" t="s">
        <v>93</v>
      </c>
    </row>
    <row r="2">
      <c r="A2" s="21" t="s">
        <v>94</v>
      </c>
      <c r="B2" s="22">
        <v>8.45</v>
      </c>
      <c r="C2" s="23">
        <f t="shared" ref="C2:C13" si="1">B2/24</f>
        <v>0.3520833333</v>
      </c>
      <c r="D2" s="22">
        <f t="shared" ref="D2:D13" si="2">24-B2</f>
        <v>15.55</v>
      </c>
      <c r="E2" s="23">
        <f t="shared" ref="E2:E13" si="3">D2/24</f>
        <v>0.6479166667</v>
      </c>
      <c r="F2" s="24">
        <v>31.0</v>
      </c>
      <c r="G2" s="25">
        <v>5726.0</v>
      </c>
      <c r="H2" s="3">
        <f t="shared" ref="H2:H13" si="4">G2/24</f>
        <v>238.5833333</v>
      </c>
      <c r="I2" s="26">
        <v>1775.3429018000002</v>
      </c>
      <c r="J2" s="3">
        <f t="shared" ref="J2:J13" si="5">I2/B2</f>
        <v>210.0997517</v>
      </c>
      <c r="K2" s="8">
        <f t="shared" ref="K2:K13" si="6">J2/H2</f>
        <v>0.880613699</v>
      </c>
      <c r="L2" s="8">
        <f t="shared" ref="L2:L14" si="7">IF(K2&gt;1,1,K2)</f>
        <v>0.880613699</v>
      </c>
      <c r="M2" s="8">
        <f t="shared" ref="M2:M14" si="8">C2*L2</f>
        <v>0.3100494065</v>
      </c>
      <c r="N2" s="8">
        <f t="shared" ref="N2:N14" si="9">1-M2</f>
        <v>0.6899505935</v>
      </c>
    </row>
    <row r="3">
      <c r="A3" s="21" t="s">
        <v>95</v>
      </c>
      <c r="B3" s="22">
        <v>9.9167</v>
      </c>
      <c r="C3" s="23">
        <f t="shared" si="1"/>
        <v>0.4131958333</v>
      </c>
      <c r="D3" s="22">
        <f t="shared" si="2"/>
        <v>14.0833</v>
      </c>
      <c r="E3" s="23">
        <f t="shared" si="3"/>
        <v>0.5868041667</v>
      </c>
      <c r="F3" s="24">
        <v>28.0</v>
      </c>
      <c r="G3" s="25">
        <v>5279.0</v>
      </c>
      <c r="H3" s="3">
        <f t="shared" si="4"/>
        <v>219.9583333</v>
      </c>
      <c r="I3" s="26">
        <v>3003.47571225</v>
      </c>
      <c r="J3" s="3">
        <f t="shared" si="5"/>
        <v>302.8704823</v>
      </c>
      <c r="K3" s="8">
        <f t="shared" si="6"/>
        <v>1.376944796</v>
      </c>
      <c r="L3" s="8">
        <f t="shared" si="7"/>
        <v>1</v>
      </c>
      <c r="M3" s="8">
        <f t="shared" si="8"/>
        <v>0.4131958333</v>
      </c>
      <c r="N3" s="8">
        <f t="shared" si="9"/>
        <v>0.5868041667</v>
      </c>
    </row>
    <row r="4">
      <c r="A4" s="21" t="s">
        <v>96</v>
      </c>
      <c r="B4" s="22">
        <v>11.8</v>
      </c>
      <c r="C4" s="23">
        <f t="shared" si="1"/>
        <v>0.4916666667</v>
      </c>
      <c r="D4" s="22">
        <f t="shared" si="2"/>
        <v>12.2</v>
      </c>
      <c r="E4" s="23">
        <f t="shared" si="3"/>
        <v>0.5083333333</v>
      </c>
      <c r="F4" s="24">
        <v>31.0</v>
      </c>
      <c r="G4" s="25">
        <v>4991.0</v>
      </c>
      <c r="H4" s="3">
        <f t="shared" si="4"/>
        <v>207.9583333</v>
      </c>
      <c r="I4" s="26">
        <v>5525.5405556000005</v>
      </c>
      <c r="J4" s="3">
        <f t="shared" si="5"/>
        <v>468.2661488</v>
      </c>
      <c r="K4" s="8">
        <f t="shared" si="6"/>
        <v>2.251730629</v>
      </c>
      <c r="L4" s="8">
        <f t="shared" si="7"/>
        <v>1</v>
      </c>
      <c r="M4" s="8">
        <f t="shared" si="8"/>
        <v>0.4916666667</v>
      </c>
      <c r="N4" s="8">
        <f t="shared" si="9"/>
        <v>0.5083333333</v>
      </c>
    </row>
    <row r="5">
      <c r="A5" s="21" t="s">
        <v>97</v>
      </c>
      <c r="B5" s="22">
        <v>13.8</v>
      </c>
      <c r="C5" s="23">
        <f t="shared" si="1"/>
        <v>0.575</v>
      </c>
      <c r="D5" s="22">
        <f t="shared" si="2"/>
        <v>10.2</v>
      </c>
      <c r="E5" s="23">
        <f t="shared" si="3"/>
        <v>0.425</v>
      </c>
      <c r="F5" s="24">
        <v>30.0</v>
      </c>
      <c r="G5" s="25">
        <v>4952.0</v>
      </c>
      <c r="H5" s="3">
        <f t="shared" si="4"/>
        <v>206.3333333</v>
      </c>
      <c r="I5" s="26">
        <v>7070.256375</v>
      </c>
      <c r="J5" s="3">
        <f t="shared" si="5"/>
        <v>512.3374185</v>
      </c>
      <c r="K5" s="8">
        <f t="shared" si="6"/>
        <v>2.483056955</v>
      </c>
      <c r="L5" s="8">
        <f t="shared" si="7"/>
        <v>1</v>
      </c>
      <c r="M5" s="8">
        <f t="shared" si="8"/>
        <v>0.575</v>
      </c>
      <c r="N5" s="8">
        <f t="shared" si="9"/>
        <v>0.425</v>
      </c>
    </row>
    <row r="6">
      <c r="A6" s="21" t="s">
        <v>98</v>
      </c>
      <c r="B6" s="22">
        <v>15.5333</v>
      </c>
      <c r="C6" s="23">
        <f t="shared" si="1"/>
        <v>0.6472208333</v>
      </c>
      <c r="D6" s="22">
        <f t="shared" si="2"/>
        <v>8.4667</v>
      </c>
      <c r="E6" s="23">
        <f t="shared" si="3"/>
        <v>0.3527791667</v>
      </c>
      <c r="F6" s="24">
        <v>31.0</v>
      </c>
      <c r="G6" s="25">
        <v>5559.0</v>
      </c>
      <c r="H6" s="3">
        <f t="shared" si="4"/>
        <v>231.625</v>
      </c>
      <c r="I6" s="26">
        <v>8331.3270105</v>
      </c>
      <c r="J6" s="3">
        <f t="shared" si="5"/>
        <v>536.3526753</v>
      </c>
      <c r="K6" s="8">
        <f t="shared" si="6"/>
        <v>2.31560788</v>
      </c>
      <c r="L6" s="8">
        <f t="shared" si="7"/>
        <v>1</v>
      </c>
      <c r="M6" s="8">
        <f t="shared" si="8"/>
        <v>0.6472208333</v>
      </c>
      <c r="N6" s="8">
        <f t="shared" si="9"/>
        <v>0.3527791667</v>
      </c>
    </row>
    <row r="7">
      <c r="A7" s="21" t="s">
        <v>99</v>
      </c>
      <c r="B7" s="22">
        <v>16.4667</v>
      </c>
      <c r="C7" s="23">
        <f t="shared" si="1"/>
        <v>0.6861125</v>
      </c>
      <c r="D7" s="22">
        <f t="shared" si="2"/>
        <v>7.5333</v>
      </c>
      <c r="E7" s="23">
        <f t="shared" si="3"/>
        <v>0.3138875</v>
      </c>
      <c r="F7" s="24">
        <v>30.0</v>
      </c>
      <c r="G7" s="25">
        <v>4964.0</v>
      </c>
      <c r="H7" s="3">
        <f t="shared" si="4"/>
        <v>206.8333333</v>
      </c>
      <c r="I7" s="26">
        <v>8156.595252000001</v>
      </c>
      <c r="J7" s="3">
        <f t="shared" si="5"/>
        <v>495.3387899</v>
      </c>
      <c r="K7" s="8">
        <f t="shared" si="6"/>
        <v>2.39486925</v>
      </c>
      <c r="L7" s="8">
        <f t="shared" si="7"/>
        <v>1</v>
      </c>
      <c r="M7" s="8">
        <f t="shared" si="8"/>
        <v>0.6861125</v>
      </c>
      <c r="N7" s="8">
        <f t="shared" si="9"/>
        <v>0.3138875</v>
      </c>
    </row>
    <row r="8">
      <c r="A8" s="21" t="s">
        <v>100</v>
      </c>
      <c r="B8" s="22">
        <v>16.05</v>
      </c>
      <c r="C8" s="23">
        <f t="shared" si="1"/>
        <v>0.66875</v>
      </c>
      <c r="D8" s="22">
        <f t="shared" si="2"/>
        <v>7.95</v>
      </c>
      <c r="E8" s="23">
        <f t="shared" si="3"/>
        <v>0.33125</v>
      </c>
      <c r="F8" s="24">
        <v>31.0</v>
      </c>
      <c r="G8" s="25">
        <v>6634.0</v>
      </c>
      <c r="H8" s="3">
        <f t="shared" si="4"/>
        <v>276.4166667</v>
      </c>
      <c r="I8" s="26">
        <v>9421.705227999999</v>
      </c>
      <c r="J8" s="3">
        <f t="shared" si="5"/>
        <v>587.0221326</v>
      </c>
      <c r="K8" s="8">
        <f t="shared" si="6"/>
        <v>2.123685737</v>
      </c>
      <c r="L8" s="8">
        <f t="shared" si="7"/>
        <v>1</v>
      </c>
      <c r="M8" s="8">
        <f t="shared" si="8"/>
        <v>0.66875</v>
      </c>
      <c r="N8" s="8">
        <f t="shared" si="9"/>
        <v>0.33125</v>
      </c>
    </row>
    <row r="9">
      <c r="A9" s="21" t="s">
        <v>101</v>
      </c>
      <c r="B9" s="22">
        <v>14.5167</v>
      </c>
      <c r="C9" s="23">
        <f t="shared" si="1"/>
        <v>0.6048625</v>
      </c>
      <c r="D9" s="22">
        <f t="shared" si="2"/>
        <v>9.4833</v>
      </c>
      <c r="E9" s="23">
        <f t="shared" si="3"/>
        <v>0.3951375</v>
      </c>
      <c r="F9" s="24">
        <v>31.0</v>
      </c>
      <c r="G9" s="25">
        <v>5909.0</v>
      </c>
      <c r="H9" s="3">
        <f t="shared" si="4"/>
        <v>246.2083333</v>
      </c>
      <c r="I9" s="26">
        <v>8105.190658500001</v>
      </c>
      <c r="J9" s="3">
        <f t="shared" si="5"/>
        <v>558.3356175</v>
      </c>
      <c r="K9" s="8">
        <f t="shared" si="6"/>
        <v>2.267736473</v>
      </c>
      <c r="L9" s="8">
        <f t="shared" si="7"/>
        <v>1</v>
      </c>
      <c r="M9" s="8">
        <f t="shared" si="8"/>
        <v>0.6048625</v>
      </c>
      <c r="N9" s="8">
        <f t="shared" si="9"/>
        <v>0.3951375</v>
      </c>
    </row>
    <row r="10">
      <c r="A10" s="21" t="s">
        <v>102</v>
      </c>
      <c r="B10" s="22">
        <v>12.5833</v>
      </c>
      <c r="C10" s="23">
        <f t="shared" si="1"/>
        <v>0.5243041667</v>
      </c>
      <c r="D10" s="22">
        <f t="shared" si="2"/>
        <v>11.4167</v>
      </c>
      <c r="E10" s="23">
        <f t="shared" si="3"/>
        <v>0.4756958333</v>
      </c>
      <c r="F10" s="24">
        <v>30.0</v>
      </c>
      <c r="G10" s="25">
        <v>5270.0</v>
      </c>
      <c r="H10" s="3">
        <f t="shared" si="4"/>
        <v>219.5833333</v>
      </c>
      <c r="I10" s="26">
        <v>6386.77201565</v>
      </c>
      <c r="J10" s="3">
        <f t="shared" si="5"/>
        <v>507.5593855</v>
      </c>
      <c r="K10" s="8">
        <f t="shared" si="6"/>
        <v>2.311465892</v>
      </c>
      <c r="L10" s="8">
        <f t="shared" si="7"/>
        <v>1</v>
      </c>
      <c r="M10" s="8">
        <f t="shared" si="8"/>
        <v>0.5243041667</v>
      </c>
      <c r="N10" s="8">
        <f t="shared" si="9"/>
        <v>0.4756958333</v>
      </c>
    </row>
    <row r="11">
      <c r="A11" s="21" t="s">
        <v>103</v>
      </c>
      <c r="B11" s="22">
        <v>10.5833</v>
      </c>
      <c r="C11" s="23">
        <f t="shared" si="1"/>
        <v>0.4409708333</v>
      </c>
      <c r="D11" s="22">
        <f t="shared" si="2"/>
        <v>13.4167</v>
      </c>
      <c r="E11" s="23">
        <f t="shared" si="3"/>
        <v>0.5590291667</v>
      </c>
      <c r="F11" s="24">
        <v>31.0</v>
      </c>
      <c r="G11" s="25">
        <v>5946.0</v>
      </c>
      <c r="H11" s="3">
        <f t="shared" si="4"/>
        <v>247.75</v>
      </c>
      <c r="I11" s="26">
        <v>4446.2885129</v>
      </c>
      <c r="J11" s="3">
        <f t="shared" si="5"/>
        <v>420.1230725</v>
      </c>
      <c r="K11" s="8">
        <f t="shared" si="6"/>
        <v>1.695754077</v>
      </c>
      <c r="L11" s="8">
        <f t="shared" si="7"/>
        <v>1</v>
      </c>
      <c r="M11" s="8">
        <f t="shared" si="8"/>
        <v>0.4409708333</v>
      </c>
      <c r="N11" s="8">
        <f t="shared" si="9"/>
        <v>0.5590291667</v>
      </c>
    </row>
    <row r="12">
      <c r="A12" s="21" t="s">
        <v>104</v>
      </c>
      <c r="B12" s="22">
        <v>8.85</v>
      </c>
      <c r="C12" s="23">
        <f t="shared" si="1"/>
        <v>0.36875</v>
      </c>
      <c r="D12" s="22">
        <f t="shared" si="2"/>
        <v>15.15</v>
      </c>
      <c r="E12" s="23">
        <f t="shared" si="3"/>
        <v>0.63125</v>
      </c>
      <c r="F12" s="24">
        <v>30.0</v>
      </c>
      <c r="G12" s="25">
        <v>5587.0</v>
      </c>
      <c r="H12" s="3">
        <f t="shared" si="4"/>
        <v>232.7916667</v>
      </c>
      <c r="I12" s="26">
        <v>1764.1523379999999</v>
      </c>
      <c r="J12" s="3">
        <f t="shared" si="5"/>
        <v>199.3392472</v>
      </c>
      <c r="K12" s="8">
        <f t="shared" si="6"/>
        <v>0.8562988963</v>
      </c>
      <c r="L12" s="8">
        <f t="shared" si="7"/>
        <v>0.8562988963</v>
      </c>
      <c r="M12" s="8">
        <f t="shared" si="8"/>
        <v>0.315760218</v>
      </c>
      <c r="N12" s="8">
        <f t="shared" si="9"/>
        <v>0.684239782</v>
      </c>
    </row>
    <row r="13">
      <c r="A13" s="21" t="s">
        <v>105</v>
      </c>
      <c r="B13" s="22">
        <v>7.9667</v>
      </c>
      <c r="C13" s="23">
        <f t="shared" si="1"/>
        <v>0.3319458333</v>
      </c>
      <c r="D13" s="22">
        <f t="shared" si="2"/>
        <v>16.0333</v>
      </c>
      <c r="E13" s="23">
        <f t="shared" si="3"/>
        <v>0.6680541667</v>
      </c>
      <c r="F13" s="24">
        <v>31.0</v>
      </c>
      <c r="G13" s="25">
        <v>5490.0</v>
      </c>
      <c r="H13" s="3">
        <f t="shared" si="4"/>
        <v>228.75</v>
      </c>
      <c r="I13" s="26">
        <v>1013.35344045</v>
      </c>
      <c r="J13" s="3">
        <f t="shared" si="5"/>
        <v>127.1986444</v>
      </c>
      <c r="K13" s="8">
        <f t="shared" si="6"/>
        <v>0.5560596477</v>
      </c>
      <c r="L13" s="8">
        <f t="shared" si="7"/>
        <v>0.5560596477</v>
      </c>
      <c r="M13" s="8">
        <f t="shared" si="8"/>
        <v>0.1845816831</v>
      </c>
      <c r="N13" s="8">
        <f t="shared" si="9"/>
        <v>0.8154183169</v>
      </c>
    </row>
    <row r="14">
      <c r="A14" s="27" t="s">
        <v>106</v>
      </c>
      <c r="B14" s="28">
        <f t="shared" ref="B14:E14" si="10">AVERAGE(B2:B13)</f>
        <v>12.209725</v>
      </c>
      <c r="C14" s="29">
        <f t="shared" si="10"/>
        <v>0.5087385417</v>
      </c>
      <c r="D14" s="28">
        <f t="shared" si="10"/>
        <v>11.790275</v>
      </c>
      <c r="E14" s="29">
        <f t="shared" si="10"/>
        <v>0.4912614583</v>
      </c>
      <c r="L14" s="3" t="str">
        <f t="shared" si="7"/>
        <v/>
      </c>
      <c r="M14" s="3">
        <f t="shared" si="8"/>
        <v>0</v>
      </c>
      <c r="N14" s="3">
        <f t="shared" si="9"/>
        <v>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9" max="11" width="15.88"/>
    <col customWidth="1" min="12" max="12" width="15.5"/>
    <col customWidth="1" min="13" max="16" width="18.0"/>
  </cols>
  <sheetData>
    <row r="1">
      <c r="B1" s="30" t="s">
        <v>19</v>
      </c>
      <c r="C1" s="31"/>
      <c r="D1" s="31"/>
      <c r="E1" s="31"/>
      <c r="F1" s="32"/>
      <c r="G1" s="30" t="s">
        <v>107</v>
      </c>
      <c r="H1" s="31"/>
      <c r="I1" s="31"/>
      <c r="J1" s="31"/>
      <c r="K1" s="31"/>
      <c r="L1" s="32"/>
      <c r="M1" s="30" t="s">
        <v>108</v>
      </c>
      <c r="N1" s="31"/>
      <c r="O1" s="31"/>
      <c r="P1" s="32"/>
    </row>
    <row r="2">
      <c r="A2" s="1" t="s">
        <v>44</v>
      </c>
      <c r="B2" s="33" t="s">
        <v>78</v>
      </c>
      <c r="C2" s="27" t="s">
        <v>74</v>
      </c>
      <c r="D2" s="27" t="s">
        <v>67</v>
      </c>
      <c r="E2" s="27" t="s">
        <v>60</v>
      </c>
      <c r="F2" s="34" t="s">
        <v>109</v>
      </c>
      <c r="G2" s="33" t="s">
        <v>78</v>
      </c>
      <c r="H2" s="27" t="s">
        <v>74</v>
      </c>
      <c r="I2" s="27" t="s">
        <v>67</v>
      </c>
      <c r="J2" s="27" t="s">
        <v>60</v>
      </c>
      <c r="K2" s="27" t="s">
        <v>109</v>
      </c>
      <c r="L2" s="34" t="s">
        <v>110</v>
      </c>
      <c r="M2" s="33" t="s">
        <v>67</v>
      </c>
      <c r="N2" s="27" t="s">
        <v>60</v>
      </c>
      <c r="O2" s="27" t="s">
        <v>109</v>
      </c>
      <c r="P2" s="34" t="s">
        <v>111</v>
      </c>
    </row>
    <row r="3">
      <c r="A3" s="1">
        <v>0.0</v>
      </c>
      <c r="B3" s="35">
        <f>'Current Bill'!$K$15</f>
        <v>3084.779627</v>
      </c>
      <c r="C3" s="9">
        <f>'Current Bill'!$H$15</f>
        <v>4691.294995</v>
      </c>
      <c r="D3" s="9">
        <f>'Current Bill'!$M$15</f>
        <v>4508.876</v>
      </c>
      <c r="E3" s="9">
        <f>'Current Bill'!$O$15</f>
        <v>614.2475311</v>
      </c>
      <c r="F3" s="36">
        <f>'Current Bill'!$P$15</f>
        <v>12899.19815</v>
      </c>
      <c r="G3" s="35">
        <f>IFERROR(__xludf.DUMMYFUNCTION("FILTER('Bankable Bill Annual'!T3:T401,'Bankable Bill Annual'!B3:B401=""Total"")"),438.74535759294247)</f>
        <v>438.7453576</v>
      </c>
      <c r="H3" s="9">
        <f>IFERROR(__xludf.DUMMYFUNCTION("FILTER('Bankable Bill Annual'!S3:S401,'Bankable Bill Annual'!B3:B401=""Total"")"),1068.5473825929425)</f>
        <v>1068.547383</v>
      </c>
      <c r="I3" s="9">
        <f>IFERROR(__xludf.DUMMYFUNCTION("FILTER('Bankable Bill Annual'!U3:U401,'Bankable Bill Annual'!B3:B401=""Total"")"),88.87599995580007)</f>
        <v>88.87599996</v>
      </c>
      <c r="J3" s="9">
        <f>IFERROR(__xludf.DUMMYFUNCTION("FILTER('Bankable Bill Annual'!Y3:Y401,'Bankable Bill Annual'!B3:B401=""Total"")"),1726.0196932726194)</f>
        <v>1726.019693</v>
      </c>
      <c r="K3" s="9">
        <f>IFERROR(__xludf.DUMMYFUNCTION("FILTER('Bankable Bill Annual'!Y3:Y401,'Bankable Bill Annual'!B3:B401=""Total"")"),1726.0196932726194)</f>
        <v>1726.019693</v>
      </c>
      <c r="L3" s="36">
        <f t="shared" ref="L3:L27" si="1">F3-K3</f>
        <v>11173.17846</v>
      </c>
      <c r="M3" s="35">
        <f>IFERROR(__xludf.DUMMYFUNCTION("FILTER('SC Bill Annual'!N3:N401,'SC Bill Annual'!B3:B401=""Total"")"),-3752.91857061456)</f>
        <v>-3752.918571</v>
      </c>
      <c r="N3" s="9">
        <f>IFERROR(__xludf.DUMMYFUNCTION("FILTER('SC Bill Annual'!Q3:Q401,'SC Bill Annual'!B3:B401=""Total"")"),129.65938618537092)</f>
        <v>129.6593862</v>
      </c>
      <c r="O3" s="9">
        <f>IFERROR(__xludf.DUMMYFUNCTION("FILTER('SC Bill Annual'!R3:R401,'SC Bill Annual'!B3:B401=""Total"")"),-2134.220631539711)</f>
        <v>-2134.220632</v>
      </c>
      <c r="P3" s="36">
        <f t="shared" ref="P3:P27" si="2">F3-O3</f>
        <v>15033.41878</v>
      </c>
      <c r="R3" s="1">
        <f>0.17*'Bankable Bill Annual'!I17</f>
        <v>11050</v>
      </c>
      <c r="S3" s="9">
        <f>R3+J3</f>
        <v>12776.01969</v>
      </c>
    </row>
    <row r="4">
      <c r="A4" s="1">
        <v>1.0</v>
      </c>
      <c r="B4" s="35">
        <f>'Current Bill'!$K$15</f>
        <v>3084.779627</v>
      </c>
      <c r="C4" s="9">
        <f>'Current Bill'!$H$15</f>
        <v>4691.294995</v>
      </c>
      <c r="D4" s="9">
        <f>'Current Bill'!$M$15</f>
        <v>4508.876</v>
      </c>
      <c r="E4" s="9">
        <f>'Current Bill'!$O$15</f>
        <v>614.2475311</v>
      </c>
      <c r="F4" s="36">
        <f>'Current Bill'!$P$15</f>
        <v>12899.19815</v>
      </c>
      <c r="G4" s="35">
        <f>IFERROR(__xludf.DUMMYFUNCTION("""COMPUTED_VALUE"""),439.0402228377189)</f>
        <v>439.0402228</v>
      </c>
      <c r="H4" s="9">
        <f>IFERROR(__xludf.DUMMYFUNCTION("""COMPUTED_VALUE"""),1068.8422478377188)</f>
        <v>1068.842248</v>
      </c>
      <c r="I4" s="9">
        <f>IFERROR(__xludf.DUMMYFUNCTION("""COMPUTED_VALUE"""),110.97599995602104)</f>
        <v>110.976</v>
      </c>
      <c r="J4" s="9">
        <f>IFERROR(__xludf.DUMMYFUNCTION("""COMPUTED_VALUE"""),1748.9429547062625)</f>
        <v>1748.942955</v>
      </c>
      <c r="K4" s="9">
        <f>IFERROR(__xludf.DUMMYFUNCTION("""COMPUTED_VALUE"""),1748.9429547062625)</f>
        <v>1748.942955</v>
      </c>
      <c r="L4" s="36">
        <f t="shared" si="1"/>
        <v>11150.2552</v>
      </c>
      <c r="M4" s="35">
        <f>IFERROR(__xludf.DUMMYFUNCTION("""COMPUTED_VALUE"""),-3661.3379817614878)</f>
        <v>-3661.337982</v>
      </c>
      <c r="N4" s="9">
        <f>IFERROR(__xludf.DUMMYFUNCTION("""COMPUTED_VALUE"""),130.07263566774859)</f>
        <v>130.0726357</v>
      </c>
      <c r="O4" s="9">
        <f>IFERROR(__xludf.DUMMYFUNCTION("""COMPUTED_VALUE"""),-2038.0967037026167)</f>
        <v>-2038.096704</v>
      </c>
      <c r="P4" s="36">
        <f t="shared" si="2"/>
        <v>14937.29486</v>
      </c>
    </row>
    <row r="5">
      <c r="A5" s="1">
        <v>2.0</v>
      </c>
      <c r="B5" s="35">
        <f>'Current Bill'!$K$15</f>
        <v>3084.779627</v>
      </c>
      <c r="C5" s="9">
        <f>'Current Bill'!$H$15</f>
        <v>4691.294995</v>
      </c>
      <c r="D5" s="9">
        <f>'Current Bill'!$M$15</f>
        <v>4508.876</v>
      </c>
      <c r="E5" s="9">
        <f>'Current Bill'!$O$15</f>
        <v>614.2475311</v>
      </c>
      <c r="F5" s="36">
        <f>'Current Bill'!$P$15</f>
        <v>12899.19815</v>
      </c>
      <c r="G5" s="35">
        <f>IFERROR(__xludf.DUMMYFUNCTION("""COMPUTED_VALUE"""),439.3336137562714)</f>
        <v>439.3336138</v>
      </c>
      <c r="H5" s="9">
        <f>IFERROR(__xludf.DUMMYFUNCTION("""COMPUTED_VALUE"""),1069.1356387562714)</f>
        <v>1069.135639</v>
      </c>
      <c r="I5" s="9">
        <f>IFERROR(__xludf.DUMMYFUNCTION("""COMPUTED_VALUE"""),132.9654999562411)</f>
        <v>132.9655</v>
      </c>
      <c r="J5" s="9">
        <f>IFERROR(__xludf.DUMMYFUNCTION("""COMPUTED_VALUE"""),1771.7515998327378)</f>
        <v>1771.7516</v>
      </c>
      <c r="K5" s="9">
        <f>IFERROR(__xludf.DUMMYFUNCTION("""COMPUTED_VALUE"""),1771.7515998327378)</f>
        <v>1771.7516</v>
      </c>
      <c r="L5" s="36">
        <f t="shared" si="1"/>
        <v>11127.44655</v>
      </c>
      <c r="M5" s="35">
        <f>IFERROR(__xludf.DUMMYFUNCTION("""COMPUTED_VALUE"""),-3570.215295852679)</f>
        <v>-3570.215296</v>
      </c>
      <c r="N5" s="9">
        <f>IFERROR(__xludf.DUMMYFUNCTION("""COMPUTED_VALUE"""),130.48381890271435)</f>
        <v>130.4838189</v>
      </c>
      <c r="O5" s="9">
        <f>IFERROR(__xludf.DUMMYFUNCTION("""COMPUTED_VALUE"""),-1942.453395504709)</f>
        <v>-1942.453396</v>
      </c>
      <c r="P5" s="36">
        <f t="shared" si="2"/>
        <v>14841.65155</v>
      </c>
    </row>
    <row r="6">
      <c r="A6" s="1">
        <v>3.0</v>
      </c>
      <c r="B6" s="35">
        <f>'Current Bill'!$K$15</f>
        <v>3084.779627</v>
      </c>
      <c r="C6" s="9">
        <f>'Current Bill'!$H$15</f>
        <v>4691.294995</v>
      </c>
      <c r="D6" s="9">
        <f>'Current Bill'!$M$15</f>
        <v>4508.876</v>
      </c>
      <c r="E6" s="9">
        <f>'Current Bill'!$O$15</f>
        <v>614.2475311</v>
      </c>
      <c r="F6" s="36">
        <f>'Current Bill'!$P$15</f>
        <v>12899.19815</v>
      </c>
      <c r="G6" s="35">
        <f>IFERROR(__xludf.DUMMYFUNCTION("""COMPUTED_VALUE"""),439.6255377202312)</f>
        <v>439.6255377</v>
      </c>
      <c r="H6" s="9">
        <f>IFERROR(__xludf.DUMMYFUNCTION("""COMPUTED_VALUE"""),1069.4275627202312)</f>
        <v>1069.427563</v>
      </c>
      <c r="I6" s="9">
        <f>IFERROR(__xludf.DUMMYFUNCTION("""COMPUTED_VALUE"""),154.8450524564597)</f>
        <v>154.8450525</v>
      </c>
      <c r="J6" s="9">
        <f>IFERROR(__xludf.DUMMYFUNCTION("""COMPUTED_VALUE"""),1794.4462017335804)</f>
        <v>1794.446202</v>
      </c>
      <c r="K6" s="9">
        <f>IFERROR(__xludf.DUMMYFUNCTION("""COMPUTED_VALUE"""),1794.4462017335804)</f>
        <v>1794.446202</v>
      </c>
      <c r="L6" s="36">
        <f t="shared" si="1"/>
        <v>11104.75195</v>
      </c>
      <c r="M6" s="35">
        <f>IFERROR(__xludf.DUMMYFUNCTION("""COMPUTED_VALUE"""),-3479.5482233734156)</f>
        <v>-3479.548223</v>
      </c>
      <c r="N6" s="9">
        <f>IFERROR(__xludf.DUMMYFUNCTION("""COMPUTED_VALUE"""),130.89294622150527)</f>
        <v>130.8929462</v>
      </c>
      <c r="O6" s="9">
        <f>IFERROR(__xludf.DUMMYFUNCTION("""COMPUTED_VALUE"""),-1847.2883038477917)</f>
        <v>-1847.288304</v>
      </c>
      <c r="P6" s="36">
        <f t="shared" si="2"/>
        <v>14746.48646</v>
      </c>
    </row>
    <row r="7">
      <c r="A7" s="1">
        <v>4.0</v>
      </c>
      <c r="B7" s="35">
        <f>'Current Bill'!$K$15</f>
        <v>3084.779627</v>
      </c>
      <c r="C7" s="9">
        <f>'Current Bill'!$H$15</f>
        <v>4691.294995</v>
      </c>
      <c r="D7" s="9">
        <f>'Current Bill'!$M$15</f>
        <v>4508.876</v>
      </c>
      <c r="E7" s="9">
        <f>'Current Bill'!$O$15</f>
        <v>614.2475311</v>
      </c>
      <c r="F7" s="36">
        <f>'Current Bill'!$P$15</f>
        <v>12899.19815</v>
      </c>
      <c r="G7" s="35">
        <f>IFERROR(__xludf.DUMMYFUNCTION("""COMPUTED_VALUE"""),439.91600206437124)</f>
        <v>439.9160021</v>
      </c>
      <c r="H7" s="9">
        <f>IFERROR(__xludf.DUMMYFUNCTION("""COMPUTED_VALUE"""),1069.718027064371)</f>
        <v>1069.718027</v>
      </c>
      <c r="I7" s="9">
        <f>IFERROR(__xludf.DUMMYFUNCTION("""COMPUTED_VALUE"""),176.61520719417763)</f>
        <v>176.6152072</v>
      </c>
      <c r="J7" s="9">
        <f>IFERROR(__xludf.DUMMYFUNCTION("""COMPUTED_VALUE"""),1817.027330624919)</f>
        <v>1817.027331</v>
      </c>
      <c r="K7" s="9">
        <f>IFERROR(__xludf.DUMMYFUNCTION("""COMPUTED_VALUE"""),1817.027330624919)</f>
        <v>1817.027331</v>
      </c>
      <c r="L7" s="36">
        <f t="shared" si="1"/>
        <v>11082.17082</v>
      </c>
      <c r="M7" s="35">
        <f>IFERROR(__xludf.DUMMYFUNCTION("""COMPUTED_VALUE"""),-3389.334486256549)</f>
        <v>-3389.334486</v>
      </c>
      <c r="N7" s="9">
        <f>IFERROR(__xludf.DUMMYFUNCTION("""COMPUTED_VALUE"""),131.30002790370224)</f>
        <v>131.3000279</v>
      </c>
      <c r="O7" s="9">
        <f>IFERROR(__xludf.DUMMYFUNCTION("""COMPUTED_VALUE"""),-1752.599037649157)</f>
        <v>-1752.599038</v>
      </c>
      <c r="P7" s="36">
        <f t="shared" si="2"/>
        <v>14651.79719</v>
      </c>
    </row>
    <row r="8">
      <c r="A8" s="1">
        <v>5.0</v>
      </c>
      <c r="B8" s="35">
        <f>'Current Bill'!$K$15</f>
        <v>3084.779627</v>
      </c>
      <c r="C8" s="9">
        <f>'Current Bill'!$H$15</f>
        <v>4691.294995</v>
      </c>
      <c r="D8" s="9">
        <f>'Current Bill'!$M$15</f>
        <v>4508.876</v>
      </c>
      <c r="E8" s="9">
        <f>'Current Bill'!$O$15</f>
        <v>614.2475311</v>
      </c>
      <c r="F8" s="36">
        <f>'Current Bill'!$P$15</f>
        <v>12899.19815</v>
      </c>
      <c r="G8" s="35">
        <f>IFERROR(__xludf.DUMMYFUNCTION("""COMPUTED_VALUE"""),440.20501408679036)</f>
        <v>440.2050141</v>
      </c>
      <c r="H8" s="9">
        <f>IFERROR(__xludf.DUMMYFUNCTION("""COMPUTED_VALUE"""),1070.0070390867902)</f>
        <v>1070.007039</v>
      </c>
      <c r="I8" s="9">
        <f>IFERROR(__xludf.DUMMYFUNCTION("""COMPUTED_VALUE"""),198.2765111582068)</f>
        <v>198.2765112</v>
      </c>
      <c r="J8" s="9">
        <f>IFERROR(__xludf.DUMMYFUNCTION("""COMPUTED_VALUE"""),1839.4955538718004)</f>
        <v>1839.495554</v>
      </c>
      <c r="K8" s="9">
        <f>IFERROR(__xludf.DUMMYFUNCTION("""COMPUTED_VALUE"""),1839.4955538718004)</f>
        <v>1839.495554</v>
      </c>
      <c r="L8" s="36">
        <f t="shared" si="1"/>
        <v>11059.7026</v>
      </c>
      <c r="M8" s="35">
        <f>IFERROR(__xludf.DUMMYFUNCTION("""COMPUTED_VALUE"""),-3299.571817825265)</f>
        <v>-3299.571818</v>
      </c>
      <c r="N8" s="9">
        <f>IFERROR(__xludf.DUMMYFUNCTION("""COMPUTED_VALUE"""),131.70507417748826)</f>
        <v>131.7050742</v>
      </c>
      <c r="O8" s="9">
        <f>IFERROR(__xludf.DUMMYFUNCTION("""COMPUTED_VALUE"""),-1658.3832177815168)</f>
        <v>-1658.383218</v>
      </c>
      <c r="P8" s="36">
        <f t="shared" si="2"/>
        <v>14557.58137</v>
      </c>
    </row>
    <row r="9">
      <c r="A9" s="1">
        <v>6.0</v>
      </c>
      <c r="B9" s="35">
        <f>'Current Bill'!$K$15</f>
        <v>3084.779627</v>
      </c>
      <c r="C9" s="9">
        <f>'Current Bill'!$H$15</f>
        <v>4691.294995</v>
      </c>
      <c r="D9" s="9">
        <f>'Current Bill'!$M$15</f>
        <v>4508.876</v>
      </c>
      <c r="E9" s="9">
        <f>'Current Bill'!$O$15</f>
        <v>614.2475311</v>
      </c>
      <c r="F9" s="36">
        <f>'Current Bill'!$P$15</f>
        <v>12899.19815</v>
      </c>
      <c r="G9" s="35">
        <f>IFERROR(__xludf.DUMMYFUNCTION("""COMPUTED_VALUE"""),440.4925810490975)</f>
        <v>440.492581</v>
      </c>
      <c r="H9" s="9">
        <f>IFERROR(__xludf.DUMMYFUNCTION("""COMPUTED_VALUE"""),1070.2946060490976)</f>
        <v>1070.294606</v>
      </c>
      <c r="I9" s="9">
        <f>IFERROR(__xludf.DUMMYFUNCTION("""COMPUTED_VALUE"""),219.82950860241544)</f>
        <v>219.8295086</v>
      </c>
      <c r="J9" s="9">
        <f>IFERROR(__xludf.DUMMYFUNCTION("""COMPUTED_VALUE"""),1861.8514360024478)</f>
        <v>1861.851436</v>
      </c>
      <c r="K9" s="9">
        <f>IFERROR(__xludf.DUMMYFUNCTION("""COMPUTED_VALUE"""),1861.8514360024478)</f>
        <v>1861.851436</v>
      </c>
      <c r="L9" s="36">
        <f t="shared" si="1"/>
        <v>11037.34672</v>
      </c>
      <c r="M9" s="35">
        <f>IFERROR(__xludf.DUMMYFUNCTION("""COMPUTED_VALUE"""),-3210.25796273614)</f>
        <v>-3210.257963</v>
      </c>
      <c r="N9" s="9">
        <f>IFERROR(__xludf.DUMMYFUNCTION("""COMPUTED_VALUE"""),132.10809521990532)</f>
        <v>132.1080952</v>
      </c>
      <c r="O9" s="9">
        <f>IFERROR(__xludf.DUMMYFUNCTION("""COMPUTED_VALUE"""),-1564.6384770132152)</f>
        <v>-1564.638477</v>
      </c>
      <c r="P9" s="36">
        <f t="shared" si="2"/>
        <v>14463.83663</v>
      </c>
    </row>
    <row r="10">
      <c r="A10" s="1">
        <v>7.0</v>
      </c>
      <c r="B10" s="35">
        <f>'Current Bill'!$K$15</f>
        <v>3084.779627</v>
      </c>
      <c r="C10" s="9">
        <f>'Current Bill'!$H$15</f>
        <v>4691.294995</v>
      </c>
      <c r="D10" s="9">
        <f>'Current Bill'!$M$15</f>
        <v>4508.876</v>
      </c>
      <c r="E10" s="9">
        <f>'Current Bill'!$O$15</f>
        <v>614.2475311</v>
      </c>
      <c r="F10" s="36">
        <f>'Current Bill'!$P$15</f>
        <v>12899.19815</v>
      </c>
      <c r="G10" s="35">
        <f>IFERROR(__xludf.DUMMYFUNCTION("""COMPUTED_VALUE"""),440.7787101765931)</f>
        <v>440.7787102</v>
      </c>
      <c r="H10" s="9">
        <f>IFERROR(__xludf.DUMMYFUNCTION("""COMPUTED_VALUE"""),1070.5807351765932)</f>
        <v>1070.580735</v>
      </c>
      <c r="I10" s="9">
        <f>IFERROR(__xludf.DUMMYFUNCTION("""COMPUTED_VALUE"""),241.27474105940394)</f>
        <v>241.2747411</v>
      </c>
      <c r="J10" s="9">
        <f>IFERROR(__xludf.DUMMYFUNCTION("""COMPUTED_VALUE"""),1884.0955387224421)</f>
        <v>1884.095539</v>
      </c>
      <c r="K10" s="9">
        <f>IFERROR(__xludf.DUMMYFUNCTION("""COMPUTED_VALUE"""),1884.0955387224421)</f>
        <v>1884.095539</v>
      </c>
      <c r="L10" s="36">
        <f t="shared" si="1"/>
        <v>11015.10261</v>
      </c>
      <c r="M10" s="35">
        <f>IFERROR(__xludf.DUMMYFUNCTION("""COMPUTED_VALUE"""),-3121.3906769224577)</f>
        <v>-3121.390677</v>
      </c>
      <c r="N10" s="9">
        <f>IFERROR(__xludf.DUMMYFUNCTION("""COMPUTED_VALUE"""),132.50910115711034)</f>
        <v>132.5091012</v>
      </c>
      <c r="O10" s="9">
        <f>IFERROR(__xludf.DUMMYFUNCTION("""COMPUTED_VALUE"""),-1471.3624599487525)</f>
        <v>-1471.36246</v>
      </c>
      <c r="P10" s="36">
        <f t="shared" si="2"/>
        <v>14370.56061</v>
      </c>
    </row>
    <row r="11">
      <c r="A11" s="1">
        <v>8.0</v>
      </c>
      <c r="B11" s="35">
        <f>'Current Bill'!$K$15</f>
        <v>3084.779627</v>
      </c>
      <c r="C11" s="9">
        <f>'Current Bill'!$H$15</f>
        <v>4691.294995</v>
      </c>
      <c r="D11" s="9">
        <f>'Current Bill'!$M$15</f>
        <v>4508.876</v>
      </c>
      <c r="E11" s="9">
        <f>'Current Bill'!$O$15</f>
        <v>614.2475311</v>
      </c>
      <c r="F11" s="36">
        <f>'Current Bill'!$P$15</f>
        <v>12899.19815</v>
      </c>
      <c r="G11" s="35">
        <f>IFERROR(__xludf.DUMMYFUNCTION("""COMPUTED_VALUE"""),441.0634086584513)</f>
        <v>441.0634087</v>
      </c>
      <c r="H11" s="9">
        <f>IFERROR(__xludf.DUMMYFUNCTION("""COMPUTED_VALUE"""),1070.8654336584511)</f>
        <v>1070.865434</v>
      </c>
      <c r="I11" s="9">
        <f>IFERROR(__xludf.DUMMYFUNCTION("""COMPUTED_VALUE"""),262.6127473541064)</f>
        <v>262.6127474</v>
      </c>
      <c r="J11" s="9">
        <f>IFERROR(__xludf.DUMMYFUNCTION("""COMPUTED_VALUE"""),1906.2284209288357)</f>
        <v>1906.228421</v>
      </c>
      <c r="K11" s="9">
        <f>IFERROR(__xludf.DUMMYFUNCTION("""COMPUTED_VALUE"""),1906.2284209288357)</f>
        <v>1906.228421</v>
      </c>
      <c r="L11" s="36">
        <f t="shared" si="1"/>
        <v>10992.96973</v>
      </c>
      <c r="M11" s="35">
        <f>IFERROR(__xludf.DUMMYFUNCTION("""COMPUTED_VALUE"""),-3032.9677275378476)</f>
        <v>-3032.967728</v>
      </c>
      <c r="N11" s="9">
        <f>IFERROR(__xludf.DUMMYFUNCTION("""COMPUTED_VALUE"""),132.90810206462928)</f>
        <v>132.9081021</v>
      </c>
      <c r="O11" s="9">
        <f>IFERROR(__xludf.DUMMYFUNCTION("""COMPUTED_VALUE"""),-1378.5528229696156)</f>
        <v>-1378.552823</v>
      </c>
      <c r="P11" s="36">
        <f t="shared" si="2"/>
        <v>14277.75098</v>
      </c>
    </row>
    <row r="12">
      <c r="A12" s="1">
        <v>9.0</v>
      </c>
      <c r="B12" s="35">
        <f>'Current Bill'!$K$15</f>
        <v>3084.779627</v>
      </c>
      <c r="C12" s="9">
        <f>'Current Bill'!$H$15</f>
        <v>4691.294995</v>
      </c>
      <c r="D12" s="9">
        <f>'Current Bill'!$M$15</f>
        <v>4508.876</v>
      </c>
      <c r="E12" s="9">
        <f>'Current Bill'!$O$15</f>
        <v>614.2475311</v>
      </c>
      <c r="F12" s="36">
        <f>'Current Bill'!$P$15</f>
        <v>12899.19815</v>
      </c>
      <c r="G12" s="35">
        <f>IFERROR(__xludf.DUMMYFUNCTION("""COMPUTED_VALUE"""),441.34668364790014)</f>
        <v>441.3466836</v>
      </c>
      <c r="H12" s="9">
        <f>IFERROR(__xludf.DUMMYFUNCTION("""COMPUTED_VALUE"""),1071.1487086479)</f>
        <v>1071.148709</v>
      </c>
      <c r="I12" s="9">
        <f>IFERROR(__xludf.DUMMYFUNCTION("""COMPUTED_VALUE"""),283.84406361733613)</f>
        <v>283.8440636</v>
      </c>
      <c r="J12" s="9">
        <f>IFERROR(__xludf.DUMMYFUNCTION("""COMPUTED_VALUE"""),1928.2506387241986)</f>
        <v>1928.250639</v>
      </c>
      <c r="K12" s="9">
        <f>IFERROR(__xludf.DUMMYFUNCTION("""COMPUTED_VALUE"""),1928.2506387241986)</f>
        <v>1928.250639</v>
      </c>
      <c r="L12" s="36">
        <f t="shared" si="1"/>
        <v>10970.94751</v>
      </c>
      <c r="M12" s="35">
        <f>IFERROR(__xludf.DUMMYFUNCTION("""COMPUTED_VALUE"""),-2944.986892900157)</f>
        <v>-2944.986893</v>
      </c>
      <c r="N12" s="9">
        <f>IFERROR(__xludf.DUMMYFUNCTION("""COMPUTED_VALUE"""),133.30510796761067)</f>
        <v>133.305108</v>
      </c>
      <c r="O12" s="9">
        <f>IFERROR(__xludf.DUMMYFUNCTION("""COMPUTED_VALUE"""),-1286.207234175372)</f>
        <v>-1286.207234</v>
      </c>
      <c r="P12" s="36">
        <f t="shared" si="2"/>
        <v>14185.40539</v>
      </c>
    </row>
    <row r="13">
      <c r="A13" s="1">
        <v>10.0</v>
      </c>
      <c r="B13" s="35">
        <f>'Current Bill'!$K$15</f>
        <v>3084.779627</v>
      </c>
      <c r="C13" s="9">
        <f>'Current Bill'!$H$15</f>
        <v>4691.294995</v>
      </c>
      <c r="D13" s="9">
        <f>'Current Bill'!$M$15</f>
        <v>4508.876</v>
      </c>
      <c r="E13" s="9">
        <f>'Current Bill'!$O$15</f>
        <v>614.2475311</v>
      </c>
      <c r="F13" s="36">
        <f>'Current Bill'!$P$15</f>
        <v>12899.19815</v>
      </c>
      <c r="G13" s="35">
        <f>IFERROR(__xludf.DUMMYFUNCTION("""COMPUTED_VALUE"""),441.6285422624017)</f>
        <v>441.6285423</v>
      </c>
      <c r="H13" s="9">
        <f>IFERROR(__xludf.DUMMYFUNCTION("""COMPUTED_VALUE"""),1071.4305672624018)</f>
        <v>1071.430567</v>
      </c>
      <c r="I13" s="9">
        <f>IFERROR(__xludf.DUMMYFUNCTION("""COMPUTED_VALUE"""),304.9692232992495)</f>
        <v>304.9692233</v>
      </c>
      <c r="J13" s="9">
        <f>IFERROR(__xludf.DUMMYFUNCTION("""COMPUTED_VALUE"""),1950.1627454305835)</f>
        <v>1950.162745</v>
      </c>
      <c r="K13" s="9">
        <f>IFERROR(__xludf.DUMMYFUNCTION("""COMPUTED_VALUE"""),1950.1627454305835)</f>
        <v>1950.162745</v>
      </c>
      <c r="L13" s="36">
        <f t="shared" si="1"/>
        <v>10949.03541</v>
      </c>
      <c r="M13" s="35">
        <f>IFERROR(__xludf.DUMMYFUNCTION("""COMPUTED_VALUE"""),-2857.445962435656)</f>
        <v>-2857.445962</v>
      </c>
      <c r="N13" s="9">
        <f>IFERROR(__xludf.DUMMYFUNCTION("""COMPUTED_VALUE"""),133.70012884107712)</f>
        <v>133.7001288</v>
      </c>
      <c r="O13" s="9">
        <f>IFERROR(__xludf.DUMMYFUNCTION("""COMPUTED_VALUE"""),-1194.323373325099)</f>
        <v>-1194.323373</v>
      </c>
      <c r="P13" s="36">
        <f t="shared" si="2"/>
        <v>14093.52153</v>
      </c>
    </row>
    <row r="14">
      <c r="A14" s="1">
        <v>11.0</v>
      </c>
      <c r="B14" s="35">
        <f>'Current Bill'!$K$15</f>
        <v>3084.779627</v>
      </c>
      <c r="C14" s="9">
        <f>'Current Bill'!$H$15</f>
        <v>4691.294995</v>
      </c>
      <c r="D14" s="9">
        <f>'Current Bill'!$M$15</f>
        <v>4508.876</v>
      </c>
      <c r="E14" s="9">
        <f>'Current Bill'!$O$15</f>
        <v>614.2475311</v>
      </c>
      <c r="F14" s="36">
        <f>'Current Bill'!$P$15</f>
        <v>12899.19815</v>
      </c>
      <c r="G14" s="35">
        <f>IFERROR(__xludf.DUMMYFUNCTION("""COMPUTED_VALUE"""),441.90899158383087)</f>
        <v>441.9089916</v>
      </c>
      <c r="H14" s="9">
        <f>IFERROR(__xludf.DUMMYFUNCTION("""COMPUTED_VALUE"""),1071.7110165838308)</f>
        <v>1071.711017</v>
      </c>
      <c r="I14" s="9">
        <f>IFERROR(__xludf.DUMMYFUNCTION("""COMPUTED_VALUE"""),325.9887571827535)</f>
        <v>325.9887572</v>
      </c>
      <c r="J14" s="9">
        <f>IFERROR(__xludf.DUMMYFUNCTION("""COMPUTED_VALUE"""),1971.965291603437)</f>
        <v>1971.965292</v>
      </c>
      <c r="K14" s="9">
        <f>IFERROR(__xludf.DUMMYFUNCTION("""COMPUTED_VALUE"""),1971.965291603437)</f>
        <v>1971.965292</v>
      </c>
      <c r="L14" s="36">
        <f t="shared" si="1"/>
        <v>10927.23286</v>
      </c>
      <c r="M14" s="35">
        <f>IFERROR(__xludf.DUMMYFUNCTION("""COMPUTED_VALUE"""),-2770.3427366234773)</f>
        <v>-2770.342737</v>
      </c>
      <c r="N14" s="9">
        <f>IFERROR(__xludf.DUMMYFUNCTION("""COMPUTED_VALUE"""),131.39454135387564)</f>
        <v>131.3945414</v>
      </c>
      <c r="O14" s="9">
        <f>IFERROR(__xludf.DUMMYFUNCTION("""COMPUTED_VALUE"""),-1159.5702301613917)</f>
        <v>-1159.57023</v>
      </c>
      <c r="P14" s="36">
        <f t="shared" si="2"/>
        <v>14058.76838</v>
      </c>
    </row>
    <row r="15">
      <c r="A15" s="1">
        <v>12.0</v>
      </c>
      <c r="B15" s="35">
        <f>'Current Bill'!$K$15</f>
        <v>3084.779627</v>
      </c>
      <c r="C15" s="9">
        <f>'Current Bill'!$H$15</f>
        <v>4691.294995</v>
      </c>
      <c r="D15" s="9">
        <f>'Current Bill'!$M$15</f>
        <v>4508.876</v>
      </c>
      <c r="E15" s="9">
        <f>'Current Bill'!$O$15</f>
        <v>614.2475311</v>
      </c>
      <c r="F15" s="36">
        <f>'Current Bill'!$P$15</f>
        <v>12899.19815</v>
      </c>
      <c r="G15" s="35">
        <f>IFERROR(__xludf.DUMMYFUNCTION("""COMPUTED_VALUE"""),442.1880386586528)</f>
        <v>442.1880387</v>
      </c>
      <c r="H15" s="9">
        <f>IFERROR(__xludf.DUMMYFUNCTION("""COMPUTED_VALUE"""),1071.9900636586528)</f>
        <v>1071.990064</v>
      </c>
      <c r="I15" s="9">
        <f>IFERROR(__xludf.DUMMYFUNCTION("""COMPUTED_VALUE"""),346.90319339683964)</f>
        <v>346.9031934</v>
      </c>
      <c r="J15" s="9">
        <f>IFERROR(__xludf.DUMMYFUNCTION("""COMPUTED_VALUE"""),1993.6588250454263)</f>
        <v>1993.658825</v>
      </c>
      <c r="K15" s="9">
        <f>IFERROR(__xludf.DUMMYFUNCTION("""COMPUTED_VALUE"""),1993.6588250454263)</f>
        <v>1993.658825</v>
      </c>
      <c r="L15" s="36">
        <f t="shared" si="1"/>
        <v>10905.53933</v>
      </c>
      <c r="M15" s="35">
        <f>IFERROR(__xludf.DUMMYFUNCTION("""COMPUTED_VALUE"""),-2683.6750269403597)</f>
        <v>-2683.675027</v>
      </c>
      <c r="N15" s="9">
        <f>IFERROR(__xludf.DUMMYFUNCTION("""COMPUTED_VALUE"""),134.48425515042987)</f>
        <v>134.4842552</v>
      </c>
      <c r="O15" s="9">
        <f>IFERROR(__xludf.DUMMYFUNCTION("""COMPUTED_VALUE"""),-1011.9316124407889)</f>
        <v>-1011.931612</v>
      </c>
      <c r="P15" s="36">
        <f t="shared" si="2"/>
        <v>13911.12977</v>
      </c>
    </row>
    <row r="16">
      <c r="A16" s="1">
        <v>13.0</v>
      </c>
      <c r="B16" s="35">
        <f>'Current Bill'!$K$15</f>
        <v>3084.779627</v>
      </c>
      <c r="C16" s="9">
        <f>'Current Bill'!$H$15</f>
        <v>4691.294995</v>
      </c>
      <c r="D16" s="9">
        <f>'Current Bill'!$M$15</f>
        <v>4508.876</v>
      </c>
      <c r="E16" s="9">
        <f>'Current Bill'!$O$15</f>
        <v>614.2475311</v>
      </c>
      <c r="F16" s="36">
        <f>'Current Bill'!$P$15</f>
        <v>12899.19815</v>
      </c>
      <c r="G16" s="35">
        <f>IFERROR(__xludf.DUMMYFUNCTION("""COMPUTED_VALUE"""),442.4656904981006)</f>
        <v>442.4656905</v>
      </c>
      <c r="H16" s="9">
        <f>IFERROR(__xludf.DUMMYFUNCTION("""COMPUTED_VALUE"""),1072.2677154981004)</f>
        <v>1072.267715</v>
      </c>
      <c r="I16" s="9">
        <f>IFERROR(__xludf.DUMMYFUNCTION("""COMPUTED_VALUE"""),367.71305742985516)</f>
        <v>367.7130574</v>
      </c>
      <c r="J16" s="9">
        <f>IFERROR(__xludf.DUMMYFUNCTION("""COMPUTED_VALUE"""),2015.2438908202053)</f>
        <v>2015.243891</v>
      </c>
      <c r="K16" s="9">
        <f>IFERROR(__xludf.DUMMYFUNCTION("""COMPUTED_VALUE"""),2015.2438908202053)</f>
        <v>2015.243891</v>
      </c>
      <c r="L16" s="36">
        <f t="shared" si="1"/>
        <v>10883.95426</v>
      </c>
      <c r="M16" s="35">
        <f>IFERROR(__xludf.DUMMYFUNCTION("""COMPUTED_VALUE"""),-2597.4406558056594)</f>
        <v>-2597.440656</v>
      </c>
      <c r="N16" s="9">
        <f>IFERROR(__xludf.DUMMYFUNCTION("""COMPUTED_VALUE"""),134.87338028798223)</f>
        <v>134.8733803</v>
      </c>
      <c r="O16" s="9">
        <f>IFERROR(__xludf.DUMMYFUNCTION("""COMPUTED_VALUE"""),-921.4191296991912)</f>
        <v>-921.4191297</v>
      </c>
      <c r="P16" s="36">
        <f t="shared" si="2"/>
        <v>13820.61728</v>
      </c>
    </row>
    <row r="17">
      <c r="A17" s="1">
        <v>14.0</v>
      </c>
      <c r="B17" s="35">
        <f>'Current Bill'!$K$15</f>
        <v>3084.779627</v>
      </c>
      <c r="C17" s="9">
        <f>'Current Bill'!$H$15</f>
        <v>4691.294995</v>
      </c>
      <c r="D17" s="9">
        <f>'Current Bill'!$M$15</f>
        <v>4508.876</v>
      </c>
      <c r="E17" s="9">
        <f>'Current Bill'!$O$15</f>
        <v>614.2475311</v>
      </c>
      <c r="F17" s="36">
        <f>'Current Bill'!$P$15</f>
        <v>12899.19815</v>
      </c>
      <c r="G17" s="35">
        <f>IFERROR(__xludf.DUMMYFUNCTION("""COMPUTED_VALUE"""),442.7419540783512)</f>
        <v>442.7419541</v>
      </c>
      <c r="H17" s="9">
        <f>IFERROR(__xludf.DUMMYFUNCTION("""COMPUTED_VALUE"""),1072.5439790783512)</f>
        <v>1072.543979</v>
      </c>
      <c r="I17" s="9">
        <f>IFERROR(__xludf.DUMMYFUNCTION("""COMPUTED_VALUE"""),388.41887214270605)</f>
        <v>388.4188721</v>
      </c>
      <c r="J17" s="9">
        <f>IFERROR(__xludf.DUMMYFUNCTION("""COMPUTED_VALUE"""),2036.721031266111)</f>
        <v>2036.721031</v>
      </c>
      <c r="K17" s="9">
        <f>IFERROR(__xludf.DUMMYFUNCTION("""COMPUTED_VALUE"""),2036.721031266111)</f>
        <v>2036.721031</v>
      </c>
      <c r="L17" s="36">
        <f t="shared" si="1"/>
        <v>10862.47712</v>
      </c>
      <c r="M17" s="35">
        <f>IFERROR(__xludf.DUMMYFUNCTION("""COMPUTED_VALUE"""),-2511.63745652663)</f>
        <v>-2511.637457</v>
      </c>
      <c r="N17" s="9">
        <f>IFERROR(__xludf.DUMMYFUNCTION("""COMPUTED_VALUE"""),135.26055979984685)</f>
        <v>135.2605598</v>
      </c>
      <c r="O17" s="9">
        <f>IFERROR(__xludf.DUMMYFUNCTION("""COMPUTED_VALUE"""),-831.3592093712998)</f>
        <v>-831.3592094</v>
      </c>
      <c r="P17" s="36">
        <f t="shared" si="2"/>
        <v>13730.55736</v>
      </c>
    </row>
    <row r="18">
      <c r="A18" s="1">
        <v>15.0</v>
      </c>
      <c r="B18" s="35">
        <f>'Current Bill'!$K$15</f>
        <v>3084.779627</v>
      </c>
      <c r="C18" s="9">
        <f>'Current Bill'!$H$15</f>
        <v>4691.294995</v>
      </c>
      <c r="D18" s="9">
        <f>'Current Bill'!$M$15</f>
        <v>4508.876</v>
      </c>
      <c r="E18" s="9">
        <f>'Current Bill'!$O$15</f>
        <v>614.2475311</v>
      </c>
      <c r="F18" s="36">
        <f>'Current Bill'!$P$15</f>
        <v>12899.19815</v>
      </c>
      <c r="G18" s="35">
        <f>IFERROR(__xludf.DUMMYFUNCTION("""COMPUTED_VALUE"""),443.01683634070054)</f>
        <v>443.0168363</v>
      </c>
      <c r="H18" s="9">
        <f>IFERROR(__xludf.DUMMYFUNCTION("""COMPUTED_VALUE"""),1072.8188613407006)</f>
        <v>1072.818861</v>
      </c>
      <c r="I18" s="9">
        <f>IFERROR(__xludf.DUMMYFUNCTION("""COMPUTED_VALUE"""),409.0211577819923)</f>
        <v>409.0211578</v>
      </c>
      <c r="J18" s="9">
        <f>IFERROR(__xludf.DUMMYFUNCTION("""COMPUTED_VALUE"""),2058.0907860097864)</f>
        <v>2058.090786</v>
      </c>
      <c r="K18" s="9">
        <f>IFERROR(__xludf.DUMMYFUNCTION("""COMPUTED_VALUE"""),2058.0907860097864)</f>
        <v>2058.090786</v>
      </c>
      <c r="L18" s="36">
        <f t="shared" si="1"/>
        <v>10841.10737</v>
      </c>
      <c r="M18" s="35">
        <f>IFERROR(__xludf.DUMMYFUNCTION("""COMPUTED_VALUE"""),-2426.2632732439974)</f>
        <v>-2426.263273</v>
      </c>
      <c r="N18" s="9">
        <f>IFERROR(__xludf.DUMMYFUNCTION("""COMPUTED_VALUE"""),135.6458034141521)</f>
        <v>135.6458034</v>
      </c>
      <c r="O18" s="9">
        <f>IFERROR(__xludf.DUMMYFUNCTION("""COMPUTED_VALUE"""),-741.749588645049)</f>
        <v>-741.7495886</v>
      </c>
      <c r="P18" s="36">
        <f t="shared" si="2"/>
        <v>13640.94774</v>
      </c>
    </row>
    <row r="19">
      <c r="A19" s="1">
        <v>16.0</v>
      </c>
      <c r="B19" s="35">
        <f>'Current Bill'!$K$15</f>
        <v>3084.779627</v>
      </c>
      <c r="C19" s="9">
        <f>'Current Bill'!$H$15</f>
        <v>4691.294995</v>
      </c>
      <c r="D19" s="9">
        <f>'Current Bill'!$M$15</f>
        <v>4508.876</v>
      </c>
      <c r="E19" s="9">
        <f>'Current Bill'!$O$15</f>
        <v>614.2475311</v>
      </c>
      <c r="F19" s="36">
        <f>'Current Bill'!$P$15</f>
        <v>12899.19815</v>
      </c>
      <c r="G19" s="35">
        <f>IFERROR(__xludf.DUMMYFUNCTION("""COMPUTED_VALUE"""),443.29034419173814)</f>
        <v>443.2903442</v>
      </c>
      <c r="H19" s="9">
        <f>IFERROR(__xludf.DUMMYFUNCTION("""COMPUTED_VALUE"""),1073.092369191738)</f>
        <v>1073.092369</v>
      </c>
      <c r="I19" s="9">
        <f>IFERROR(__xludf.DUMMYFUNCTION("""COMPUTED_VALUE"""),429.5204319930827)</f>
        <v>429.520432</v>
      </c>
      <c r="J19" s="9">
        <f>IFERROR(__xludf.DUMMYFUNCTION("""COMPUTED_VALUE"""),2079.353691979744)</f>
        <v>2079.353692</v>
      </c>
      <c r="K19" s="9">
        <f>IFERROR(__xludf.DUMMYFUNCTION("""COMPUTED_VALUE"""),2079.353691979744)</f>
        <v>2079.353692</v>
      </c>
      <c r="L19" s="36">
        <f t="shared" si="1"/>
        <v>10819.84446</v>
      </c>
      <c r="M19" s="35">
        <f>IFERROR(__xludf.DUMMYFUNCTION("""COMPUTED_VALUE"""),-2341.315960877776)</f>
        <v>-2341.315961</v>
      </c>
      <c r="N19" s="9">
        <f>IFERROR(__xludf.DUMMYFUNCTION("""COMPUTED_VALUE"""),136.02912081038588)</f>
        <v>136.0291208</v>
      </c>
      <c r="O19" s="9">
        <f>IFERROR(__xludf.DUMMYFUNCTION("""COMPUTED_VALUE"""),-652.5880160224282)</f>
        <v>-652.588016</v>
      </c>
      <c r="P19" s="36">
        <f t="shared" si="2"/>
        <v>13551.78617</v>
      </c>
    </row>
    <row r="20">
      <c r="A20" s="1">
        <v>17.0</v>
      </c>
      <c r="B20" s="35">
        <f>'Current Bill'!$K$15</f>
        <v>3084.779627</v>
      </c>
      <c r="C20" s="9">
        <f>'Current Bill'!$H$15</f>
        <v>4691.294995</v>
      </c>
      <c r="D20" s="9">
        <f>'Current Bill'!$M$15</f>
        <v>4508.876</v>
      </c>
      <c r="E20" s="9">
        <f>'Current Bill'!$O$15</f>
        <v>614.2475311</v>
      </c>
      <c r="F20" s="36">
        <f>'Current Bill'!$P$15</f>
        <v>12899.19815</v>
      </c>
      <c r="G20" s="35">
        <f>IFERROR(__xludf.DUMMYFUNCTION("""COMPUTED_VALUE"""),443.5624845035205)</f>
        <v>443.5624845</v>
      </c>
      <c r="H20" s="9">
        <f>IFERROR(__xludf.DUMMYFUNCTION("""COMPUTED_VALUE"""),1073.3645095035206)</f>
        <v>1073.36451</v>
      </c>
      <c r="I20" s="9">
        <f>IFERROR(__xludf.DUMMYFUNCTION("""COMPUTED_VALUE"""),449.91720983311745)</f>
        <v>449.9172098</v>
      </c>
      <c r="J20" s="9">
        <f>IFERROR(__xludf.DUMMYFUNCTION("""COMPUTED_VALUE"""),2100.5102834198515)</f>
        <v>2100.510283</v>
      </c>
      <c r="K20" s="9">
        <f>IFERROR(__xludf.DUMMYFUNCTION("""COMPUTED_VALUE"""),2100.5102834198515)</f>
        <v>2100.510283</v>
      </c>
      <c r="L20" s="36">
        <f t="shared" si="1"/>
        <v>10798.68787</v>
      </c>
      <c r="M20" s="35">
        <f>IFERROR(__xludf.DUMMYFUNCTION("""COMPUTED_VALUE"""),-2256.793385073386)</f>
        <v>-2256.793385</v>
      </c>
      <c r="N20" s="9">
        <f>IFERROR(__xludf.DUMMYFUNCTION("""COMPUTED_VALUE"""),136.41052161963844)</f>
        <v>136.4105216</v>
      </c>
      <c r="O20" s="9">
        <f>IFERROR(__xludf.DUMMYFUNCTION("""COMPUTED_VALUE"""),-563.8722512629205)</f>
        <v>-563.8722513</v>
      </c>
      <c r="P20" s="36">
        <f t="shared" si="2"/>
        <v>13463.0704</v>
      </c>
    </row>
    <row r="21">
      <c r="A21" s="1">
        <v>18.0</v>
      </c>
      <c r="B21" s="35">
        <f>'Current Bill'!$K$15</f>
        <v>3084.779627</v>
      </c>
      <c r="C21" s="9">
        <f>'Current Bill'!$H$15</f>
        <v>4691.294995</v>
      </c>
      <c r="D21" s="9">
        <f>'Current Bill'!$M$15</f>
        <v>4508.876</v>
      </c>
      <c r="E21" s="9">
        <f>'Current Bill'!$O$15</f>
        <v>614.2475311</v>
      </c>
      <c r="F21" s="36">
        <f>'Current Bill'!$P$15</f>
        <v>12899.19815</v>
      </c>
      <c r="G21" s="35">
        <f>IFERROR(__xludf.DUMMYFUNCTION("""COMPUTED_VALUE"""),443.8332641137441)</f>
        <v>443.8332641</v>
      </c>
      <c r="H21" s="9">
        <f>IFERROR(__xludf.DUMMYFUNCTION("""COMPUTED_VALUE"""),1073.635289113744)</f>
        <v>1073.635289</v>
      </c>
      <c r="I21" s="9">
        <f>IFERROR(__xludf.DUMMYFUNCTION("""COMPUTED_VALUE"""),470.2120037839518)</f>
        <v>470.2120038</v>
      </c>
      <c r="J21" s="9">
        <f>IFERROR(__xludf.DUMMYFUNCTION("""COMPUTED_VALUE"""),2121.5610919027586)</f>
        <v>2121.561092</v>
      </c>
      <c r="K21" s="9">
        <f>IFERROR(__xludf.DUMMYFUNCTION("""COMPUTED_VALUE"""),2121.5610919027586)</f>
        <v>2121.561092</v>
      </c>
      <c r="L21" s="36">
        <f t="shared" si="1"/>
        <v>10777.63706</v>
      </c>
      <c r="M21" s="35">
        <f>IFERROR(__xludf.DUMMYFUNCTION("""COMPUTED_VALUE"""),-2172.6934221480205)</f>
        <v>-2172.693422</v>
      </c>
      <c r="N21" s="9">
        <f>IFERROR(__xludf.DUMMYFUNCTION("""COMPUTED_VALUE"""),136.79001542484474)</f>
        <v>136.7900154</v>
      </c>
      <c r="O21" s="9">
        <f>IFERROR(__xludf.DUMMYFUNCTION("""COMPUTED_VALUE"""),-475.6000653272116)</f>
        <v>-475.6000653</v>
      </c>
      <c r="P21" s="36">
        <f t="shared" si="2"/>
        <v>13374.79822</v>
      </c>
    </row>
    <row r="22">
      <c r="A22" s="1">
        <v>19.0</v>
      </c>
      <c r="B22" s="35">
        <f>'Current Bill'!$K$15</f>
        <v>3084.779627</v>
      </c>
      <c r="C22" s="9">
        <f>'Current Bill'!$H$15</f>
        <v>4691.294995</v>
      </c>
      <c r="D22" s="9">
        <f>'Current Bill'!$M$15</f>
        <v>4508.876</v>
      </c>
      <c r="E22" s="9">
        <f>'Current Bill'!$O$15</f>
        <v>614.2475311</v>
      </c>
      <c r="F22" s="36">
        <f>'Current Bill'!$P$15</f>
        <v>12899.19815</v>
      </c>
      <c r="G22" s="35">
        <f>IFERROR(__xludf.DUMMYFUNCTION("""COMPUTED_VALUE"""),444.10268982591657)</f>
        <v>444.1026898</v>
      </c>
      <c r="H22" s="9">
        <f>IFERROR(__xludf.DUMMYFUNCTION("""COMPUTED_VALUE"""),1073.9047148259165)</f>
        <v>1073.904715</v>
      </c>
      <c r="I22" s="9">
        <f>IFERROR(__xludf.DUMMYFUNCTION("""COMPUTED_VALUE"""),490.40532376503194)</f>
        <v>490.4053238</v>
      </c>
      <c r="J22" s="9">
        <f>IFERROR(__xludf.DUMMYFUNCTION("""COMPUTED_VALUE"""),2142.5066463432513)</f>
        <v>2142.506646</v>
      </c>
      <c r="K22" s="9">
        <f>IFERROR(__xludf.DUMMYFUNCTION("""COMPUTED_VALUE"""),2142.5066463432513)</f>
        <v>2142.506646</v>
      </c>
      <c r="L22" s="36">
        <f t="shared" si="1"/>
        <v>10756.69151</v>
      </c>
      <c r="M22" s="35">
        <f>IFERROR(__xludf.DUMMYFUNCTION("""COMPUTED_VALUE"""),-2089.013959037281)</f>
        <v>-2089.013959</v>
      </c>
      <c r="N22" s="9">
        <f>IFERROR(__xludf.DUMMYFUNCTION("""COMPUTED_VALUE"""),137.16761176102506)</f>
        <v>137.1676118</v>
      </c>
      <c r="O22" s="9">
        <f>IFERROR(__xludf.DUMMYFUNCTION("""COMPUTED_VALUE"""),-387.7692403211816)</f>
        <v>-387.7692403</v>
      </c>
      <c r="P22" s="36">
        <f t="shared" si="2"/>
        <v>13286.96739</v>
      </c>
    </row>
    <row r="23">
      <c r="A23" s="1">
        <v>20.0</v>
      </c>
      <c r="B23" s="35">
        <f>'Current Bill'!$K$15</f>
        <v>3084.779627</v>
      </c>
      <c r="C23" s="9">
        <f>'Current Bill'!$H$15</f>
        <v>4691.294995</v>
      </c>
      <c r="D23" s="9">
        <f>'Current Bill'!$M$15</f>
        <v>4508.876</v>
      </c>
      <c r="E23" s="9">
        <f>'Current Bill'!$O$15</f>
        <v>614.2475311</v>
      </c>
      <c r="F23" s="36">
        <f>'Current Bill'!$P$15</f>
        <v>12899.19815</v>
      </c>
      <c r="G23" s="35">
        <f>IFERROR(__xludf.DUMMYFUNCTION("""COMPUTED_VALUE"""),444.37076840952795)</f>
        <v>444.3707684</v>
      </c>
      <c r="H23" s="9">
        <f>IFERROR(__xludf.DUMMYFUNCTION("""COMPUTED_VALUE"""),1074.172793409528)</f>
        <v>1074.172793</v>
      </c>
      <c r="I23" s="9">
        <f>IFERROR(__xludf.DUMMYFUNCTION("""COMPUTED_VALUE"""),510.4976771462065)</f>
        <v>510.4976771</v>
      </c>
      <c r="J23" s="9">
        <f>IFERROR(__xludf.DUMMYFUNCTION("""COMPUTED_VALUE"""),2163.347473011541)</f>
        <v>2163.347473</v>
      </c>
      <c r="K23" s="9">
        <f>IFERROR(__xludf.DUMMYFUNCTION("""COMPUTED_VALUE"""),2163.347473011541)</f>
        <v>2163.347473</v>
      </c>
      <c r="L23" s="36">
        <f t="shared" si="1"/>
        <v>10735.85068</v>
      </c>
      <c r="M23" s="35">
        <f>IFERROR(__xludf.DUMMYFUNCTION("""COMPUTED_VALUE"""),-2005.7528932420953)</f>
        <v>-2005.752893</v>
      </c>
      <c r="N23" s="9">
        <f>IFERROR(__xludf.DUMMYFUNCTION("""COMPUTED_VALUE"""),137.54332011552444)</f>
        <v>137.5433201</v>
      </c>
      <c r="O23" s="9">
        <f>IFERROR(__xludf.DUMMYFUNCTION("""COMPUTED_VALUE"""),-300.37756944018116)</f>
        <v>-300.3775694</v>
      </c>
      <c r="P23" s="36">
        <f t="shared" si="2"/>
        <v>13199.57572</v>
      </c>
    </row>
    <row r="24">
      <c r="A24" s="1">
        <v>21.0</v>
      </c>
      <c r="B24" s="35">
        <f>'Current Bill'!$K$15</f>
        <v>3084.779627</v>
      </c>
      <c r="C24" s="9">
        <f>'Current Bill'!$H$15</f>
        <v>4691.294995</v>
      </c>
      <c r="D24" s="9">
        <f>'Current Bill'!$M$15</f>
        <v>4508.876</v>
      </c>
      <c r="E24" s="9">
        <f>'Current Bill'!$O$15</f>
        <v>614.2475311</v>
      </c>
      <c r="F24" s="36">
        <f>'Current Bill'!$P$15</f>
        <v>12899.19815</v>
      </c>
      <c r="G24" s="35">
        <f>IFERROR(__xludf.DUMMYFUNCTION("""COMPUTED_VALUE"""),444.6375066002214)</f>
        <v>444.6375066</v>
      </c>
      <c r="H24" s="9">
        <f>IFERROR(__xludf.DUMMYFUNCTION("""COMPUTED_VALUE"""),1074.4395316002215)</f>
        <v>1074.439532</v>
      </c>
      <c r="I24" s="9">
        <f>IFERROR(__xludf.DUMMYFUNCTION("""COMPUTED_VALUE"""),530.4895687604757)</f>
        <v>530.4895688</v>
      </c>
      <c r="J24" s="9">
        <f>IFERROR(__xludf.DUMMYFUNCTION("""COMPUTED_VALUE"""),2184.143698953072)</f>
        <v>2184.143699</v>
      </c>
      <c r="K24" s="9">
        <f>IFERROR(__xludf.DUMMYFUNCTION("""COMPUTED_VALUE"""),2184.143698953072)</f>
        <v>2184.143699</v>
      </c>
      <c r="L24" s="36">
        <f t="shared" si="1"/>
        <v>10715.05445</v>
      </c>
      <c r="M24" s="35">
        <f>IFERROR(__xludf.DUMMYFUNCTION("""COMPUTED_VALUE"""),-1922.9081327758834)</f>
        <v>-1922.908133</v>
      </c>
      <c r="N24" s="9">
        <f>IFERROR(__xludf.DUMMYFUNCTION("""COMPUTED_VALUE"""),138.20640175431285)</f>
        <v>138.2064018</v>
      </c>
      <c r="O24" s="9">
        <f>IFERROR(__xludf.DUMMYFUNCTION("""COMPUTED_VALUE"""),-213.1336050875231)</f>
        <v>-213.1336051</v>
      </c>
      <c r="P24" s="36">
        <f t="shared" si="2"/>
        <v>13112.33176</v>
      </c>
    </row>
    <row r="25">
      <c r="A25" s="1">
        <v>22.0</v>
      </c>
      <c r="B25" s="35">
        <f>'Current Bill'!$K$15</f>
        <v>3084.779627</v>
      </c>
      <c r="C25" s="9">
        <f>'Current Bill'!$H$15</f>
        <v>4691.294995</v>
      </c>
      <c r="D25" s="9">
        <f>'Current Bill'!$M$15</f>
        <v>4508.876</v>
      </c>
      <c r="E25" s="9">
        <f>'Current Bill'!$O$15</f>
        <v>614.2475311</v>
      </c>
      <c r="F25" s="36">
        <f>'Current Bill'!$P$15</f>
        <v>12899.19815</v>
      </c>
      <c r="G25" s="35">
        <f>IFERROR(__xludf.DUMMYFUNCTION("""COMPUTED_VALUE"""),444.90291109996144)</f>
        <v>444.9029111</v>
      </c>
      <c r="H25" s="9">
        <f>IFERROR(__xludf.DUMMYFUNCTION("""COMPUTED_VALUE"""),1074.7049360999615)</f>
        <v>1074.704936</v>
      </c>
      <c r="I25" s="9">
        <f>IFERROR(__xludf.DUMMYFUNCTION("""COMPUTED_VALUE"""),550.3815009166734)</f>
        <v>550.3815009</v>
      </c>
      <c r="J25" s="9">
        <f>IFERROR(__xludf.DUMMYFUNCTION("""COMPUTED_VALUE"""),2204.861187358313)</f>
        <v>2204.861187</v>
      </c>
      <c r="K25" s="9">
        <f>IFERROR(__xludf.DUMMYFUNCTION("""COMPUTED_VALUE"""),2204.861187358313)</f>
        <v>2204.861187</v>
      </c>
      <c r="L25" s="36">
        <f t="shared" si="1"/>
        <v>10694.33697</v>
      </c>
      <c r="M25" s="35">
        <f>IFERROR(__xludf.DUMMYFUNCTION("""COMPUTED_VALUE"""),-1840.477596112004)</f>
        <v>-1840.477596</v>
      </c>
      <c r="N25" s="9">
        <f>IFERROR(__xludf.DUMMYFUNCTION("""COMPUTED_VALUE"""),138.98867365884578)</f>
        <v>138.9886737</v>
      </c>
      <c r="O25" s="9">
        <f>IFERROR(__xludf.DUMMYFUNCTION("""COMPUTED_VALUE"""),-126.20335488269075)</f>
        <v>-126.2033549</v>
      </c>
      <c r="P25" s="36">
        <f t="shared" si="2"/>
        <v>13025.40151</v>
      </c>
    </row>
    <row r="26">
      <c r="A26" s="1">
        <v>23.0</v>
      </c>
      <c r="B26" s="35">
        <f>'Current Bill'!$K$15</f>
        <v>3084.779627</v>
      </c>
      <c r="C26" s="9">
        <f>'Current Bill'!$H$15</f>
        <v>4691.294995</v>
      </c>
      <c r="D26" s="9">
        <f>'Current Bill'!$M$15</f>
        <v>4508.876</v>
      </c>
      <c r="E26" s="9">
        <f>'Current Bill'!$O$15</f>
        <v>614.2475311</v>
      </c>
      <c r="F26" s="36">
        <f>'Current Bill'!$P$15</f>
        <v>12899.19815</v>
      </c>
      <c r="G26" s="35">
        <f>IFERROR(__xludf.DUMMYFUNCTION("""COMPUTED_VALUE"""),445.16698857720274)</f>
        <v>445.1669886</v>
      </c>
      <c r="H26" s="9">
        <f>IFERROR(__xludf.DUMMYFUNCTION("""COMPUTED_VALUE"""),1074.9690135772028)</f>
        <v>1074.969014</v>
      </c>
      <c r="I26" s="9">
        <f>IFERROR(__xludf.DUMMYFUNCTION("""COMPUTED_VALUE"""),570.1739734120899)</f>
        <v>570.1739734</v>
      </c>
      <c r="J26" s="9">
        <f>IFERROR(__xludf.DUMMYFUNCTION("""COMPUTED_VALUE"""),2225.475088321528)</f>
        <v>2225.475088</v>
      </c>
      <c r="K26" s="9">
        <f>IFERROR(__xludf.DUMMYFUNCTION("""COMPUTED_VALUE"""),2225.475088321528)</f>
        <v>2225.475088</v>
      </c>
      <c r="L26" s="36">
        <f t="shared" si="1"/>
        <v>10673.72306</v>
      </c>
      <c r="M26" s="35">
        <f>IFERROR(__xludf.DUMMYFUNCTION("""COMPUTED_VALUE"""),-1758.459212131444)</f>
        <v>-1758.459212</v>
      </c>
      <c r="N26" s="9">
        <f>IFERROR(__xludf.DUMMYFUNCTION("""COMPUTED_VALUE"""),139.76703420385607)</f>
        <v>139.7670342</v>
      </c>
      <c r="O26" s="9">
        <f>IFERROR(__xludf.DUMMYFUNCTION("""COMPUTED_VALUE"""),-39.707755928882364)</f>
        <v>-39.70775593</v>
      </c>
      <c r="P26" s="36">
        <f t="shared" si="2"/>
        <v>12938.90591</v>
      </c>
    </row>
    <row r="27">
      <c r="A27" s="1">
        <v>24.0</v>
      </c>
      <c r="B27" s="35">
        <f>'Current Bill'!$K$15</f>
        <v>3084.779627</v>
      </c>
      <c r="C27" s="9">
        <f>'Current Bill'!$H$15</f>
        <v>4691.294995</v>
      </c>
      <c r="D27" s="9">
        <f>'Current Bill'!$M$15</f>
        <v>4508.876</v>
      </c>
      <c r="E27" s="9">
        <f>'Current Bill'!$O$15</f>
        <v>614.2475311</v>
      </c>
      <c r="F27" s="36">
        <f>'Current Bill'!$P$15</f>
        <v>12899.19815</v>
      </c>
      <c r="G27" s="35">
        <f>IFERROR(__xludf.DUMMYFUNCTION("""COMPUTED_VALUE"""),445.4297456670578)</f>
        <v>445.4297457</v>
      </c>
      <c r="H27" s="9">
        <f>IFERROR(__xludf.DUMMYFUNCTION("""COMPUTED_VALUE"""),1075.2317706670578)</f>
        <v>1075.231771</v>
      </c>
      <c r="I27" s="9">
        <f>IFERROR(__xludf.DUMMYFUNCTION("""COMPUTED_VALUE"""),589.8674835450295)</f>
        <v>589.8674835</v>
      </c>
      <c r="J27" s="9">
        <f>IFERROR(__xludf.DUMMYFUNCTION("""COMPUTED_VALUE"""),2245.9859197799265)</f>
        <v>2245.98592</v>
      </c>
      <c r="K27" s="9">
        <f>IFERROR(__xludf.DUMMYFUNCTION("""COMPUTED_VALUE"""),2245.9859197799265)</f>
        <v>2245.98592</v>
      </c>
      <c r="L27" s="36">
        <f t="shared" si="1"/>
        <v>10653.21223</v>
      </c>
      <c r="M27" s="35">
        <f>IFERROR(__xludf.DUMMYFUNCTION("""COMPUTED_VALUE"""),-1676.8509200707877)</f>
        <v>-1676.85092</v>
      </c>
      <c r="N27" s="9">
        <f>IFERROR(__xludf.DUMMYFUNCTION("""COMPUTED_VALUE"""),140.5415029461413)</f>
        <v>140.5415029</v>
      </c>
      <c r="O27" s="9">
        <f>IFERROR(__xludf.DUMMYFUNCTION("""COMPUTED_VALUE"""),46.35536503015612)</f>
        <v>46.35536503</v>
      </c>
      <c r="P27" s="36">
        <f t="shared" si="2"/>
        <v>12852.84279</v>
      </c>
    </row>
    <row r="28">
      <c r="A28" s="1" t="s">
        <v>109</v>
      </c>
      <c r="B28" s="37">
        <f t="shared" ref="B28:P28" si="3">SUM(B3:B27)</f>
        <v>77119.49066</v>
      </c>
      <c r="C28" s="38">
        <f t="shared" si="3"/>
        <v>117282.3749</v>
      </c>
      <c r="D28" s="38">
        <f t="shared" si="3"/>
        <v>112721.9</v>
      </c>
      <c r="E28" s="38">
        <f t="shared" si="3"/>
        <v>15356.18828</v>
      </c>
      <c r="F28" s="39">
        <f t="shared" si="3"/>
        <v>322479.9538</v>
      </c>
      <c r="G28" s="37">
        <f t="shared" si="3"/>
        <v>11053.79389</v>
      </c>
      <c r="H28" s="38">
        <f t="shared" si="3"/>
        <v>26798.84451</v>
      </c>
      <c r="I28" s="38">
        <f t="shared" si="3"/>
        <v>8604.594766</v>
      </c>
      <c r="J28" s="38">
        <f t="shared" si="3"/>
        <v>49771.69702</v>
      </c>
      <c r="K28" s="38">
        <f t="shared" si="3"/>
        <v>49771.69702</v>
      </c>
      <c r="L28" s="38">
        <f t="shared" si="3"/>
        <v>272708.2568</v>
      </c>
      <c r="M28" s="37">
        <f t="shared" si="3"/>
        <v>-67373.60023</v>
      </c>
      <c r="N28" s="38">
        <f t="shared" si="3"/>
        <v>3361.747167</v>
      </c>
      <c r="O28" s="38">
        <f t="shared" si="3"/>
        <v>-25647.05192</v>
      </c>
      <c r="P28" s="39">
        <f t="shared" si="3"/>
        <v>348127.0057</v>
      </c>
    </row>
    <row r="29">
      <c r="M29" s="1" t="s">
        <v>112</v>
      </c>
    </row>
    <row r="34">
      <c r="B34" s="40"/>
      <c r="C34" s="40"/>
      <c r="D34" s="40"/>
      <c r="E34" s="40"/>
      <c r="F34" s="40"/>
    </row>
    <row r="35">
      <c r="B35" s="40"/>
      <c r="C35" s="40"/>
      <c r="D35" s="40"/>
      <c r="E35" s="40"/>
      <c r="F35" s="40"/>
    </row>
    <row r="36">
      <c r="B36" s="40"/>
      <c r="C36" s="40"/>
      <c r="D36" s="40"/>
      <c r="E36" s="40"/>
      <c r="F36" s="40"/>
    </row>
    <row r="37">
      <c r="B37" s="40"/>
      <c r="C37" s="40"/>
      <c r="D37" s="40"/>
      <c r="E37" s="40"/>
      <c r="F37" s="40"/>
    </row>
    <row r="38">
      <c r="B38" s="40"/>
      <c r="C38" s="40"/>
      <c r="D38" s="40"/>
      <c r="E38" s="40"/>
      <c r="F38" s="40"/>
    </row>
    <row r="39">
      <c r="B39" s="40"/>
      <c r="C39" s="40"/>
      <c r="D39" s="40"/>
      <c r="E39" s="40"/>
      <c r="F39" s="40"/>
    </row>
    <row r="40">
      <c r="B40" s="40"/>
      <c r="C40" s="40"/>
      <c r="D40" s="40"/>
      <c r="E40" s="40"/>
      <c r="F40" s="40"/>
    </row>
    <row r="41">
      <c r="B41" s="40"/>
      <c r="C41" s="40"/>
      <c r="D41" s="40"/>
      <c r="E41" s="40"/>
      <c r="F41" s="40"/>
    </row>
    <row r="42">
      <c r="B42" s="40"/>
      <c r="C42" s="40"/>
      <c r="D42" s="40"/>
      <c r="E42" s="40"/>
      <c r="F42" s="40"/>
    </row>
    <row r="43">
      <c r="B43" s="40"/>
      <c r="C43" s="40"/>
      <c r="D43" s="40"/>
      <c r="E43" s="40"/>
      <c r="F43" s="40"/>
    </row>
    <row r="44">
      <c r="B44" s="40"/>
      <c r="C44" s="40"/>
      <c r="D44" s="40"/>
      <c r="E44" s="40"/>
      <c r="F44" s="40"/>
    </row>
    <row r="45">
      <c r="B45" s="40"/>
      <c r="C45" s="40"/>
      <c r="D45" s="40"/>
      <c r="E45" s="40"/>
      <c r="F45" s="40"/>
    </row>
    <row r="46">
      <c r="B46" s="40"/>
      <c r="C46" s="40"/>
      <c r="D46" s="40"/>
      <c r="E46" s="40"/>
      <c r="F46" s="40"/>
    </row>
    <row r="47">
      <c r="B47" s="40"/>
      <c r="C47" s="40"/>
      <c r="D47" s="40"/>
      <c r="E47" s="40"/>
      <c r="F47" s="40"/>
    </row>
    <row r="48">
      <c r="B48" s="40"/>
      <c r="C48" s="40"/>
      <c r="D48" s="40"/>
      <c r="E48" s="40"/>
      <c r="F48" s="40"/>
    </row>
    <row r="49">
      <c r="B49" s="40"/>
      <c r="C49" s="40"/>
      <c r="D49" s="40"/>
      <c r="E49" s="40"/>
      <c r="F49" s="40"/>
    </row>
    <row r="50">
      <c r="B50" s="40"/>
      <c r="C50" s="40"/>
      <c r="D50" s="40"/>
      <c r="E50" s="40"/>
      <c r="F50" s="40"/>
    </row>
    <row r="51">
      <c r="B51" s="40"/>
      <c r="C51" s="40"/>
      <c r="D51" s="40"/>
      <c r="E51" s="40"/>
      <c r="F51" s="40"/>
    </row>
    <row r="52">
      <c r="B52" s="40"/>
      <c r="C52" s="40"/>
      <c r="D52" s="40"/>
      <c r="E52" s="40"/>
      <c r="F52" s="40"/>
    </row>
    <row r="53">
      <c r="B53" s="40"/>
      <c r="C53" s="40"/>
      <c r="D53" s="40"/>
      <c r="E53" s="40"/>
      <c r="F53" s="40"/>
    </row>
    <row r="54">
      <c r="B54" s="40"/>
      <c r="C54" s="40"/>
      <c r="D54" s="40"/>
      <c r="E54" s="40"/>
      <c r="F54" s="40"/>
    </row>
    <row r="55">
      <c r="B55" s="40"/>
      <c r="C55" s="40"/>
      <c r="D55" s="40"/>
      <c r="E55" s="40"/>
      <c r="F55" s="40"/>
    </row>
    <row r="56">
      <c r="B56" s="40"/>
      <c r="C56" s="40"/>
      <c r="D56" s="40"/>
      <c r="E56" s="40"/>
      <c r="F56" s="40"/>
    </row>
    <row r="57">
      <c r="B57" s="40"/>
      <c r="C57" s="40"/>
      <c r="D57" s="40"/>
      <c r="E57" s="40"/>
      <c r="F57" s="40"/>
    </row>
    <row r="58">
      <c r="B58" s="40"/>
      <c r="C58" s="40"/>
      <c r="D58" s="40"/>
      <c r="E58" s="40"/>
      <c r="F58" s="40"/>
    </row>
  </sheetData>
  <mergeCells count="3">
    <mergeCell ref="B1:F1"/>
    <mergeCell ref="G1:L1"/>
    <mergeCell ref="M1:P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3" width="10.38"/>
    <col customWidth="1" min="4" max="4" width="10.0"/>
    <col customWidth="1" min="12" max="13" width="14.5"/>
  </cols>
  <sheetData>
    <row r="1">
      <c r="A1" s="41"/>
      <c r="B1" s="42"/>
      <c r="C1" s="42"/>
      <c r="D1" s="42"/>
      <c r="E1" s="42" t="s">
        <v>74</v>
      </c>
      <c r="I1" s="42" t="s">
        <v>78</v>
      </c>
      <c r="L1" s="42"/>
      <c r="M1" s="42"/>
      <c r="P1" s="42"/>
      <c r="Q1" s="43"/>
    </row>
    <row r="2">
      <c r="A2" s="44" t="s">
        <v>83</v>
      </c>
      <c r="B2" s="20" t="s">
        <v>88</v>
      </c>
      <c r="C2" s="20" t="s">
        <v>113</v>
      </c>
      <c r="D2" s="20" t="s">
        <v>89</v>
      </c>
      <c r="E2" s="20" t="s">
        <v>75</v>
      </c>
      <c r="F2" s="20" t="s">
        <v>76</v>
      </c>
      <c r="G2" s="20" t="s">
        <v>79</v>
      </c>
      <c r="H2" s="20" t="s">
        <v>109</v>
      </c>
      <c r="I2" s="20" t="s">
        <v>79</v>
      </c>
      <c r="J2" s="20" t="s">
        <v>80</v>
      </c>
      <c r="K2" s="20" t="s">
        <v>109</v>
      </c>
      <c r="L2" s="20" t="s">
        <v>114</v>
      </c>
      <c r="M2" s="20" t="s">
        <v>67</v>
      </c>
      <c r="N2" s="45" t="s">
        <v>115</v>
      </c>
      <c r="O2" s="45" t="s">
        <v>116</v>
      </c>
      <c r="P2" s="45" t="s">
        <v>109</v>
      </c>
    </row>
    <row r="3">
      <c r="A3" s="46" t="s">
        <v>117</v>
      </c>
      <c r="B3" s="24">
        <v>31.0</v>
      </c>
      <c r="C3" s="24">
        <v>25.5</v>
      </c>
      <c r="D3" s="25">
        <v>5726.0</v>
      </c>
      <c r="E3" s="47">
        <f>B3*'Rate Codes'!$D$2</f>
        <v>297.349613</v>
      </c>
      <c r="F3" s="47">
        <f>B3*'Rate Codes'!$D$3*C3</f>
        <v>51.4749885</v>
      </c>
      <c r="G3" s="47">
        <f>B3*'Rate Codes'!$D$4*C3</f>
        <v>49.6141515</v>
      </c>
      <c r="H3" s="47">
        <f t="shared" ref="H3:H14" si="1">SUM(E3:G3)</f>
        <v>398.438753</v>
      </c>
      <c r="I3" s="47">
        <f>B3*'Rate Codes'!$D$5*C3</f>
        <v>210.3986895</v>
      </c>
      <c r="J3" s="47">
        <f>D3*'Rate Codes'!$D$6</f>
        <v>52.461612</v>
      </c>
      <c r="K3" s="47">
        <f t="shared" ref="K3:K15" si="2">SUM(I3:J3)</f>
        <v>262.8603015</v>
      </c>
      <c r="L3" s="47">
        <f t="shared" ref="L3:L15" si="3">H3+K3</f>
        <v>661.2990545</v>
      </c>
      <c r="M3" s="47">
        <f>D3*'Billing Rate'!$B$1</f>
        <v>389.368</v>
      </c>
      <c r="N3" s="47">
        <f t="shared" ref="N3:N14" si="4">H3+K3+M3</f>
        <v>1050.667055</v>
      </c>
      <c r="O3" s="47">
        <f t="shared" ref="O3:O14" si="5">N3*0.05</f>
        <v>52.53335273</v>
      </c>
      <c r="P3" s="47">
        <f t="shared" ref="P3:P14" si="6">N3+O3</f>
        <v>1103.200407</v>
      </c>
    </row>
    <row r="4">
      <c r="A4" s="46" t="s">
        <v>118</v>
      </c>
      <c r="B4" s="24">
        <v>28.0</v>
      </c>
      <c r="C4" s="24">
        <v>25.5</v>
      </c>
      <c r="D4" s="25">
        <v>5279.0</v>
      </c>
      <c r="E4" s="47">
        <f>B4*'Rate Codes'!$D$2</f>
        <v>268.573844</v>
      </c>
      <c r="F4" s="47">
        <f>B4*'Rate Codes'!$D$3*C4</f>
        <v>46.493538</v>
      </c>
      <c r="G4" s="47">
        <f>B4*'Rate Codes'!$D$4*C4</f>
        <v>44.812782</v>
      </c>
      <c r="H4" s="47">
        <f t="shared" si="1"/>
        <v>359.880164</v>
      </c>
      <c r="I4" s="47">
        <f>B4*'Rate Codes'!$D$5*C4</f>
        <v>190.037526</v>
      </c>
      <c r="J4" s="47">
        <f>D4*'Rate Codes'!$D$6</f>
        <v>48.366198</v>
      </c>
      <c r="K4" s="47">
        <f t="shared" si="2"/>
        <v>238.403724</v>
      </c>
      <c r="L4" s="47">
        <f t="shared" si="3"/>
        <v>598.283888</v>
      </c>
      <c r="M4" s="47">
        <f>D4*'Billing Rate'!$B$1</f>
        <v>358.972</v>
      </c>
      <c r="N4" s="47">
        <f t="shared" si="4"/>
        <v>957.255888</v>
      </c>
      <c r="O4" s="47">
        <f t="shared" si="5"/>
        <v>47.8627944</v>
      </c>
      <c r="P4" s="47">
        <f t="shared" si="6"/>
        <v>1005.118682</v>
      </c>
    </row>
    <row r="5">
      <c r="A5" s="46" t="s">
        <v>119</v>
      </c>
      <c r="B5" s="24">
        <v>31.0</v>
      </c>
      <c r="C5" s="24">
        <v>25.5</v>
      </c>
      <c r="D5" s="25">
        <v>4991.0</v>
      </c>
      <c r="E5" s="47">
        <f>B5*'Rate Codes'!$D$2</f>
        <v>297.349613</v>
      </c>
      <c r="F5" s="47">
        <f>B5*'Rate Codes'!$D$3*C5</f>
        <v>51.4749885</v>
      </c>
      <c r="G5" s="47">
        <f>B5*'Rate Codes'!$D$4*C5</f>
        <v>49.6141515</v>
      </c>
      <c r="H5" s="47">
        <f t="shared" si="1"/>
        <v>398.438753</v>
      </c>
      <c r="I5" s="47">
        <f>B5*'Rate Codes'!$D$5*C5</f>
        <v>210.3986895</v>
      </c>
      <c r="J5" s="47">
        <f>D5*'Rate Codes'!$D$6</f>
        <v>45.727542</v>
      </c>
      <c r="K5" s="47">
        <f t="shared" si="2"/>
        <v>256.1262315</v>
      </c>
      <c r="L5" s="47">
        <f t="shared" si="3"/>
        <v>654.5649845</v>
      </c>
      <c r="M5" s="47">
        <f>D5*'Billing Rate'!$B$1</f>
        <v>339.388</v>
      </c>
      <c r="N5" s="47">
        <f t="shared" si="4"/>
        <v>993.9529845</v>
      </c>
      <c r="O5" s="47">
        <f t="shared" si="5"/>
        <v>49.69764923</v>
      </c>
      <c r="P5" s="47">
        <f t="shared" si="6"/>
        <v>1043.650634</v>
      </c>
    </row>
    <row r="6">
      <c r="A6" s="46" t="s">
        <v>120</v>
      </c>
      <c r="B6" s="24">
        <v>30.0</v>
      </c>
      <c r="C6" s="24">
        <v>25.5</v>
      </c>
      <c r="D6" s="25">
        <v>4952.0</v>
      </c>
      <c r="E6" s="47">
        <f>B6*'Rate Codes'!$D$2</f>
        <v>287.75769</v>
      </c>
      <c r="F6" s="47">
        <f>B6*'Rate Codes'!$D$3*C6</f>
        <v>49.814505</v>
      </c>
      <c r="G6" s="47">
        <f>B6*'Rate Codes'!$D$4*C6</f>
        <v>48.013695</v>
      </c>
      <c r="H6" s="47">
        <f t="shared" si="1"/>
        <v>385.58589</v>
      </c>
      <c r="I6" s="47">
        <f>B6*'Rate Codes'!$D$5*C6</f>
        <v>203.611635</v>
      </c>
      <c r="J6" s="47">
        <f>D6*'Rate Codes'!$D$6</f>
        <v>45.370224</v>
      </c>
      <c r="K6" s="47">
        <f t="shared" si="2"/>
        <v>248.981859</v>
      </c>
      <c r="L6" s="47">
        <f t="shared" si="3"/>
        <v>634.567749</v>
      </c>
      <c r="M6" s="47">
        <f>D6*'Billing Rate'!$B$1</f>
        <v>336.736</v>
      </c>
      <c r="N6" s="47">
        <f t="shared" si="4"/>
        <v>971.303749</v>
      </c>
      <c r="O6" s="47">
        <f t="shared" si="5"/>
        <v>48.56518745</v>
      </c>
      <c r="P6" s="47">
        <f t="shared" si="6"/>
        <v>1019.868936</v>
      </c>
    </row>
    <row r="7">
      <c r="A7" s="46" t="s">
        <v>98</v>
      </c>
      <c r="B7" s="24">
        <v>31.0</v>
      </c>
      <c r="C7" s="24">
        <v>25.5</v>
      </c>
      <c r="D7" s="25">
        <v>5559.0</v>
      </c>
      <c r="E7" s="47">
        <f>B7*'Rate Codes'!$D$2</f>
        <v>297.349613</v>
      </c>
      <c r="F7" s="47">
        <f>B7*'Rate Codes'!$D$3*C7</f>
        <v>51.4749885</v>
      </c>
      <c r="G7" s="47">
        <f>B7*'Rate Codes'!$D$4*C7</f>
        <v>49.6141515</v>
      </c>
      <c r="H7" s="47">
        <f t="shared" si="1"/>
        <v>398.438753</v>
      </c>
      <c r="I7" s="47">
        <f>B7*'Rate Codes'!$D$5*C7</f>
        <v>210.3986895</v>
      </c>
      <c r="J7" s="47">
        <f>D7*'Rate Codes'!$D$6</f>
        <v>50.931558</v>
      </c>
      <c r="K7" s="47">
        <f t="shared" si="2"/>
        <v>261.3302475</v>
      </c>
      <c r="L7" s="47">
        <f t="shared" si="3"/>
        <v>659.7690005</v>
      </c>
      <c r="M7" s="47">
        <f>D7*'Billing Rate'!$B$1</f>
        <v>378.012</v>
      </c>
      <c r="N7" s="47">
        <f t="shared" si="4"/>
        <v>1037.781001</v>
      </c>
      <c r="O7" s="47">
        <f t="shared" si="5"/>
        <v>51.88905003</v>
      </c>
      <c r="P7" s="47">
        <f t="shared" si="6"/>
        <v>1089.670051</v>
      </c>
    </row>
    <row r="8">
      <c r="A8" s="46" t="s">
        <v>121</v>
      </c>
      <c r="B8" s="24">
        <v>30.0</v>
      </c>
      <c r="C8" s="24">
        <v>25.5</v>
      </c>
      <c r="D8" s="25">
        <v>4964.0</v>
      </c>
      <c r="E8" s="47">
        <f>B8*'Rate Codes'!$D$2</f>
        <v>287.75769</v>
      </c>
      <c r="F8" s="47">
        <f>B8*'Rate Codes'!$D$3*C8</f>
        <v>49.814505</v>
      </c>
      <c r="G8" s="47">
        <f>B8*'Rate Codes'!$D$4*C8</f>
        <v>48.013695</v>
      </c>
      <c r="H8" s="47">
        <f t="shared" si="1"/>
        <v>385.58589</v>
      </c>
      <c r="I8" s="47">
        <f>B8*'Rate Codes'!$D$5*C8</f>
        <v>203.611635</v>
      </c>
      <c r="J8" s="47">
        <f>D8*'Rate Codes'!$D$6</f>
        <v>45.480168</v>
      </c>
      <c r="K8" s="47">
        <f t="shared" si="2"/>
        <v>249.091803</v>
      </c>
      <c r="L8" s="47">
        <f t="shared" si="3"/>
        <v>634.677693</v>
      </c>
      <c r="M8" s="47">
        <f>D8*'Billing Rate'!$B$1</f>
        <v>337.552</v>
      </c>
      <c r="N8" s="47">
        <f t="shared" si="4"/>
        <v>972.229693</v>
      </c>
      <c r="O8" s="47">
        <f t="shared" si="5"/>
        <v>48.61148465</v>
      </c>
      <c r="P8" s="47">
        <f t="shared" si="6"/>
        <v>1020.841178</v>
      </c>
    </row>
    <row r="9">
      <c r="A9" s="46" t="s">
        <v>122</v>
      </c>
      <c r="B9" s="24">
        <v>31.0</v>
      </c>
      <c r="C9" s="24">
        <v>25.5</v>
      </c>
      <c r="D9" s="25">
        <v>6634.0</v>
      </c>
      <c r="E9" s="47">
        <f>B9*'Rate Codes'!$D$2</f>
        <v>297.349613</v>
      </c>
      <c r="F9" s="47">
        <f>B9*'Rate Codes'!$D$3*C9</f>
        <v>51.4749885</v>
      </c>
      <c r="G9" s="47">
        <f>B9*'Rate Codes'!$D$4*C9</f>
        <v>49.6141515</v>
      </c>
      <c r="H9" s="47">
        <f t="shared" si="1"/>
        <v>398.438753</v>
      </c>
      <c r="I9" s="47">
        <f>B9*'Rate Codes'!$D$5*C9</f>
        <v>210.3986895</v>
      </c>
      <c r="J9" s="47">
        <f>D9*'Rate Codes'!$D$6</f>
        <v>60.780708</v>
      </c>
      <c r="K9" s="47">
        <f t="shared" si="2"/>
        <v>271.1793975</v>
      </c>
      <c r="L9" s="47">
        <f t="shared" si="3"/>
        <v>669.6181505</v>
      </c>
      <c r="M9" s="47">
        <f>D9*'Billing Rate'!$B$1</f>
        <v>451.112</v>
      </c>
      <c r="N9" s="47">
        <f t="shared" si="4"/>
        <v>1120.730151</v>
      </c>
      <c r="O9" s="47">
        <f t="shared" si="5"/>
        <v>56.03650753</v>
      </c>
      <c r="P9" s="47">
        <f t="shared" si="6"/>
        <v>1176.766658</v>
      </c>
    </row>
    <row r="10">
      <c r="A10" s="46" t="s">
        <v>123</v>
      </c>
      <c r="B10" s="24">
        <v>31.0</v>
      </c>
      <c r="C10" s="24">
        <v>25.5</v>
      </c>
      <c r="D10" s="25">
        <v>5909.0</v>
      </c>
      <c r="E10" s="47">
        <f>B10*'Rate Codes'!$D$2</f>
        <v>297.349613</v>
      </c>
      <c r="F10" s="47">
        <f>B10*'Rate Codes'!$D$3*C10</f>
        <v>51.4749885</v>
      </c>
      <c r="G10" s="47">
        <f>B10*'Rate Codes'!$D$4*C10</f>
        <v>49.6141515</v>
      </c>
      <c r="H10" s="47">
        <f t="shared" si="1"/>
        <v>398.438753</v>
      </c>
      <c r="I10" s="47">
        <f>B10*'Rate Codes'!$D$5*C10</f>
        <v>210.3986895</v>
      </c>
      <c r="J10" s="47">
        <f>D10*'Rate Codes'!$D$6</f>
        <v>54.138258</v>
      </c>
      <c r="K10" s="47">
        <f t="shared" si="2"/>
        <v>264.5369475</v>
      </c>
      <c r="L10" s="47">
        <f t="shared" si="3"/>
        <v>662.9757005</v>
      </c>
      <c r="M10" s="47">
        <f>D10*'Billing Rate'!$B$1</f>
        <v>401.812</v>
      </c>
      <c r="N10" s="47">
        <f t="shared" si="4"/>
        <v>1064.787701</v>
      </c>
      <c r="O10" s="47">
        <f t="shared" si="5"/>
        <v>53.23938503</v>
      </c>
      <c r="P10" s="47">
        <f t="shared" si="6"/>
        <v>1118.027086</v>
      </c>
    </row>
    <row r="11">
      <c r="A11" s="46" t="s">
        <v>124</v>
      </c>
      <c r="B11" s="24">
        <v>30.0</v>
      </c>
      <c r="C11" s="24">
        <v>25.5</v>
      </c>
      <c r="D11" s="25">
        <v>5270.0</v>
      </c>
      <c r="E11" s="47">
        <f>B11*'Rate Codes'!$D$2</f>
        <v>287.75769</v>
      </c>
      <c r="F11" s="47">
        <f>B11*'Rate Codes'!$D$3*C11</f>
        <v>49.814505</v>
      </c>
      <c r="G11" s="47">
        <f>B11*'Rate Codes'!$D$4*C11</f>
        <v>48.013695</v>
      </c>
      <c r="H11" s="47">
        <f t="shared" si="1"/>
        <v>385.58589</v>
      </c>
      <c r="I11" s="47">
        <f>B11*'Rate Codes'!$D$5*C11</f>
        <v>203.611635</v>
      </c>
      <c r="J11" s="47">
        <f>D11*'Rate Codes'!$D$6</f>
        <v>48.28374</v>
      </c>
      <c r="K11" s="47">
        <f t="shared" si="2"/>
        <v>251.895375</v>
      </c>
      <c r="L11" s="47">
        <f t="shared" si="3"/>
        <v>637.481265</v>
      </c>
      <c r="M11" s="47">
        <f>D11*'Billing Rate'!$B$1</f>
        <v>358.36</v>
      </c>
      <c r="N11" s="47">
        <f t="shared" si="4"/>
        <v>995.841265</v>
      </c>
      <c r="O11" s="47">
        <f t="shared" si="5"/>
        <v>49.79206325</v>
      </c>
      <c r="P11" s="47">
        <f t="shared" si="6"/>
        <v>1045.633328</v>
      </c>
    </row>
    <row r="12">
      <c r="A12" s="46" t="s">
        <v>125</v>
      </c>
      <c r="B12" s="24">
        <v>31.0</v>
      </c>
      <c r="C12" s="24">
        <v>25.5</v>
      </c>
      <c r="D12" s="25">
        <v>5946.0</v>
      </c>
      <c r="E12" s="47">
        <f>B12*'Rate Codes'!$D$2</f>
        <v>297.349613</v>
      </c>
      <c r="F12" s="47">
        <f>B12*'Rate Codes'!$D$3*C12</f>
        <v>51.4749885</v>
      </c>
      <c r="G12" s="47">
        <f>B12*'Rate Codes'!$D$4*C12</f>
        <v>49.6141515</v>
      </c>
      <c r="H12" s="47">
        <f t="shared" si="1"/>
        <v>398.438753</v>
      </c>
      <c r="I12" s="47">
        <f>B12*'Rate Codes'!$D$5*C12</f>
        <v>210.3986895</v>
      </c>
      <c r="J12" s="47">
        <f>D12*'Rate Codes'!$D$6</f>
        <v>54.477252</v>
      </c>
      <c r="K12" s="47">
        <f t="shared" si="2"/>
        <v>264.8759415</v>
      </c>
      <c r="L12" s="47">
        <f t="shared" si="3"/>
        <v>663.3146945</v>
      </c>
      <c r="M12" s="47">
        <f>D12*'Billing Rate'!$B$1</f>
        <v>404.328</v>
      </c>
      <c r="N12" s="47">
        <f t="shared" si="4"/>
        <v>1067.642695</v>
      </c>
      <c r="O12" s="47">
        <f t="shared" si="5"/>
        <v>53.38213473</v>
      </c>
      <c r="P12" s="47">
        <f t="shared" si="6"/>
        <v>1121.024829</v>
      </c>
    </row>
    <row r="13">
      <c r="A13" s="46" t="s">
        <v>126</v>
      </c>
      <c r="B13" s="24">
        <v>30.0</v>
      </c>
      <c r="C13" s="24">
        <v>25.5</v>
      </c>
      <c r="D13" s="25">
        <v>5587.0</v>
      </c>
      <c r="E13" s="47">
        <f>B13*'Rate Codes'!$D$2</f>
        <v>287.75769</v>
      </c>
      <c r="F13" s="47">
        <f>B13*'Rate Codes'!$D$3*C13</f>
        <v>49.814505</v>
      </c>
      <c r="G13" s="47">
        <f>B13*'Rate Codes'!$D$4*C13</f>
        <v>48.013695</v>
      </c>
      <c r="H13" s="47">
        <f t="shared" si="1"/>
        <v>385.58589</v>
      </c>
      <c r="I13" s="47">
        <f>B13*'Rate Codes'!$D$5*C13</f>
        <v>203.611635</v>
      </c>
      <c r="J13" s="47">
        <f>D13*'Rate Codes'!$D$6</f>
        <v>51.188094</v>
      </c>
      <c r="K13" s="47">
        <f t="shared" si="2"/>
        <v>254.799729</v>
      </c>
      <c r="L13" s="47">
        <f t="shared" si="3"/>
        <v>640.385619</v>
      </c>
      <c r="M13" s="47">
        <f>D13*'Billing Rate'!$B$1</f>
        <v>379.916</v>
      </c>
      <c r="N13" s="47">
        <f t="shared" si="4"/>
        <v>1020.301619</v>
      </c>
      <c r="O13" s="47">
        <f t="shared" si="5"/>
        <v>51.01508095</v>
      </c>
      <c r="P13" s="47">
        <f t="shared" si="6"/>
        <v>1071.3167</v>
      </c>
    </row>
    <row r="14">
      <c r="A14" s="46" t="s">
        <v>127</v>
      </c>
      <c r="B14" s="24">
        <v>31.0</v>
      </c>
      <c r="C14" s="24">
        <v>25.5</v>
      </c>
      <c r="D14" s="25">
        <v>5490.0</v>
      </c>
      <c r="E14" s="47">
        <f>B14*'Rate Codes'!$D$2</f>
        <v>297.349613</v>
      </c>
      <c r="F14" s="47">
        <f>B14*'Rate Codes'!$D$3*C14</f>
        <v>51.4749885</v>
      </c>
      <c r="G14" s="47">
        <f>B14*'Rate Codes'!$D$4*C14</f>
        <v>49.6141515</v>
      </c>
      <c r="H14" s="47">
        <f t="shared" si="1"/>
        <v>398.438753</v>
      </c>
      <c r="I14" s="47">
        <f>B14*'Rate Codes'!$D$5*C14</f>
        <v>210.3986895</v>
      </c>
      <c r="J14" s="47">
        <f>D14*'Rate Codes'!$D$6</f>
        <v>50.29938</v>
      </c>
      <c r="K14" s="47">
        <f t="shared" si="2"/>
        <v>260.6980695</v>
      </c>
      <c r="L14" s="47">
        <f t="shared" si="3"/>
        <v>659.1368225</v>
      </c>
      <c r="M14" s="47">
        <f>D14*'Billing Rate'!$B$1</f>
        <v>373.32</v>
      </c>
      <c r="N14" s="47">
        <f t="shared" si="4"/>
        <v>1032.456823</v>
      </c>
      <c r="O14" s="47">
        <f t="shared" si="5"/>
        <v>51.62284113</v>
      </c>
      <c r="P14" s="47">
        <f t="shared" si="6"/>
        <v>1084.079664</v>
      </c>
    </row>
    <row r="15">
      <c r="A15" s="44" t="s">
        <v>109</v>
      </c>
      <c r="B15" s="20"/>
      <c r="C15" s="20">
        <f t="shared" ref="C15:J15" si="7">SUM(C3:C14)</f>
        <v>306</v>
      </c>
      <c r="D15" s="48">
        <f t="shared" si="7"/>
        <v>66307</v>
      </c>
      <c r="E15" s="49">
        <f t="shared" si="7"/>
        <v>3501.051895</v>
      </c>
      <c r="F15" s="49">
        <f t="shared" si="7"/>
        <v>606.0764775</v>
      </c>
      <c r="G15" s="49">
        <f t="shared" si="7"/>
        <v>584.1666225</v>
      </c>
      <c r="H15" s="49">
        <f t="shared" si="7"/>
        <v>4691.294995</v>
      </c>
      <c r="I15" s="49">
        <f t="shared" si="7"/>
        <v>2477.274893</v>
      </c>
      <c r="J15" s="49">
        <f t="shared" si="7"/>
        <v>607.504734</v>
      </c>
      <c r="K15" s="49">
        <f t="shared" si="2"/>
        <v>3084.779627</v>
      </c>
      <c r="L15" s="49">
        <f t="shared" si="3"/>
        <v>7776.074622</v>
      </c>
      <c r="M15" s="49">
        <f t="shared" ref="M15:P15" si="8">SUM(M3:M14)</f>
        <v>4508.876</v>
      </c>
      <c r="N15" s="50">
        <f t="shared" si="8"/>
        <v>12284.95062</v>
      </c>
      <c r="O15" s="50">
        <f t="shared" si="8"/>
        <v>614.2475311</v>
      </c>
      <c r="P15" s="50">
        <f t="shared" si="8"/>
        <v>12899.19815</v>
      </c>
    </row>
  </sheetData>
  <mergeCells count="2">
    <mergeCell ref="E1:H1"/>
    <mergeCell ref="I1:K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9" max="10" width="11.0"/>
    <col customWidth="1" min="21" max="21" width="15.63"/>
  </cols>
  <sheetData>
    <row r="1">
      <c r="A1" s="1" t="s">
        <v>44</v>
      </c>
      <c r="B1" s="1" t="s">
        <v>128</v>
      </c>
      <c r="C1" s="1"/>
      <c r="D1" s="1"/>
      <c r="E1" s="1"/>
      <c r="F1" s="1"/>
      <c r="G1" s="1"/>
      <c r="H1" s="1">
        <v>65000.0</v>
      </c>
      <c r="K1" s="1" t="s">
        <v>129</v>
      </c>
      <c r="L1" s="1"/>
      <c r="M1" s="1"/>
      <c r="N1" s="1"/>
      <c r="O1" s="6">
        <v>0.005</v>
      </c>
      <c r="Q1" s="6">
        <v>0.3</v>
      </c>
      <c r="V1" s="1" t="s">
        <v>130</v>
      </c>
    </row>
    <row r="2">
      <c r="V2" s="1" t="s">
        <v>131</v>
      </c>
    </row>
    <row r="3">
      <c r="A3" s="1">
        <v>0.0</v>
      </c>
      <c r="B3" s="1" t="s">
        <v>128</v>
      </c>
      <c r="C3" s="1"/>
      <c r="D3" s="1"/>
      <c r="E3" s="1"/>
      <c r="F3" s="1"/>
      <c r="G3" s="1"/>
      <c r="H3" s="1">
        <f>$H$1* POWER((1 -$O$1),A3)</f>
        <v>65000</v>
      </c>
      <c r="I3" s="1" t="s">
        <v>132</v>
      </c>
      <c r="J3" s="1"/>
      <c r="K3" s="8">
        <f>H3/K17</f>
        <v>0.9802886573</v>
      </c>
      <c r="L3" s="8"/>
      <c r="M3" s="8"/>
      <c r="N3" s="8"/>
      <c r="O3" s="1" t="s">
        <v>133</v>
      </c>
      <c r="P3" s="6">
        <f>1-K3</f>
        <v>0.01971134269</v>
      </c>
      <c r="Q3" s="51" t="s">
        <v>74</v>
      </c>
      <c r="R3" s="31"/>
      <c r="S3" s="32"/>
      <c r="T3" s="52" t="s">
        <v>78</v>
      </c>
    </row>
    <row r="4">
      <c r="A4" s="41"/>
      <c r="B4" s="44" t="s">
        <v>83</v>
      </c>
      <c r="C4" s="20" t="s">
        <v>88</v>
      </c>
      <c r="D4" s="20" t="s">
        <v>84</v>
      </c>
      <c r="E4" s="20" t="s">
        <v>85</v>
      </c>
      <c r="F4" s="20" t="s">
        <v>86</v>
      </c>
      <c r="G4" s="20" t="s">
        <v>87</v>
      </c>
      <c r="H4" s="20" t="s">
        <v>134</v>
      </c>
      <c r="I4" s="44" t="s">
        <v>135</v>
      </c>
      <c r="J4" s="53" t="s">
        <v>92</v>
      </c>
      <c r="K4" s="20" t="s">
        <v>89</v>
      </c>
      <c r="L4" s="53" t="s">
        <v>90</v>
      </c>
      <c r="M4" s="53" t="s">
        <v>136</v>
      </c>
      <c r="N4" s="53" t="s">
        <v>137</v>
      </c>
      <c r="O4" s="20" t="s">
        <v>138</v>
      </c>
      <c r="P4" s="20" t="s">
        <v>139</v>
      </c>
      <c r="Q4" s="54" t="s">
        <v>76</v>
      </c>
      <c r="R4" s="20" t="s">
        <v>82</v>
      </c>
      <c r="S4" s="55" t="s">
        <v>109</v>
      </c>
      <c r="T4" s="56" t="s">
        <v>80</v>
      </c>
      <c r="U4" s="57" t="s">
        <v>67</v>
      </c>
      <c r="V4" s="45" t="s">
        <v>114</v>
      </c>
      <c r="W4" s="45" t="s">
        <v>115</v>
      </c>
      <c r="X4" s="45" t="s">
        <v>60</v>
      </c>
      <c r="Y4" s="45" t="s">
        <v>109</v>
      </c>
    </row>
    <row r="5">
      <c r="A5" s="58"/>
      <c r="B5" s="46" t="s">
        <v>117</v>
      </c>
      <c r="C5" s="24">
        <v>31.0</v>
      </c>
      <c r="D5" s="22">
        <v>8.45</v>
      </c>
      <c r="E5" s="23">
        <f t="shared" ref="E5:E16" si="1">D5/24</f>
        <v>0.3520833333</v>
      </c>
      <c r="F5" s="22">
        <f t="shared" ref="F5:F16" si="2">24-D5</f>
        <v>15.55</v>
      </c>
      <c r="G5" s="23">
        <f t="shared" ref="G5:G16" si="3">F5/24</f>
        <v>0.6479166667</v>
      </c>
      <c r="H5" s="59">
        <v>0.02731296772</v>
      </c>
      <c r="I5" s="60">
        <f t="shared" ref="I5:I16" si="4">H$3*H5</f>
        <v>1775.342902</v>
      </c>
      <c r="J5" s="61">
        <f t="shared" ref="J5:J16" si="5">I5/C5/D5</f>
        <v>6.777411345</v>
      </c>
      <c r="K5" s="25">
        <v>5726.0</v>
      </c>
      <c r="L5" s="62">
        <f t="shared" ref="L5:L16" si="6">K5/C5/24</f>
        <v>7.696236559</v>
      </c>
      <c r="M5" s="63">
        <f t="shared" ref="M5:M16" si="7">IF((J5/L5)&gt;1,1,J5/L5)</f>
        <v>0.880613699</v>
      </c>
      <c r="N5" s="63">
        <f t="shared" ref="N5:N16" si="8">1-E5*M5</f>
        <v>0.6899505935</v>
      </c>
      <c r="O5" s="25">
        <f t="shared" ref="O5:O16" si="9">K5-I5</f>
        <v>3950.657098</v>
      </c>
      <c r="P5" s="25">
        <f t="shared" ref="P5:P16" si="10">K5*N5</f>
        <v>3950.657098</v>
      </c>
      <c r="Q5" s="64">
        <f>C5*'Rate Codes'!$D$7</f>
        <v>53.490035</v>
      </c>
      <c r="R5" s="25">
        <f>P5*'Rate Codes'!$D$8</f>
        <v>51.17286139</v>
      </c>
      <c r="S5" s="65">
        <f t="shared" ref="S5:S16" si="11">SUM(Q5:R5)</f>
        <v>104.6628964</v>
      </c>
      <c r="T5" s="66">
        <f>P5*'Rate Codes'!$D$8</f>
        <v>51.17286139</v>
      </c>
      <c r="U5" s="67">
        <f>(O5)*'Billing Rate'!$B$1</f>
        <v>268.6446827</v>
      </c>
      <c r="V5" s="25">
        <f t="shared" ref="V5:V17" si="12">S5+T5</f>
        <v>155.8357578</v>
      </c>
      <c r="W5" s="25">
        <f t="shared" ref="W5:W16" si="13">U5+S5+T5</f>
        <v>424.4804405</v>
      </c>
      <c r="X5" s="25">
        <f t="shared" ref="X5:X16" si="14">(IF(U5&gt;0,U5,0)+V5)*0.05</f>
        <v>21.22402202</v>
      </c>
      <c r="Y5" s="25">
        <f t="shared" ref="Y5:Y16" si="15">W5+X5</f>
        <v>445.7044625</v>
      </c>
      <c r="AB5" s="8"/>
    </row>
    <row r="6">
      <c r="A6" s="58"/>
      <c r="B6" s="46" t="s">
        <v>118</v>
      </c>
      <c r="C6" s="24">
        <v>28.0</v>
      </c>
      <c r="D6" s="22">
        <v>9.9167</v>
      </c>
      <c r="E6" s="23">
        <f t="shared" si="1"/>
        <v>0.4131958333</v>
      </c>
      <c r="F6" s="22">
        <f t="shared" si="2"/>
        <v>14.0833</v>
      </c>
      <c r="G6" s="23">
        <f t="shared" si="3"/>
        <v>0.5868041667</v>
      </c>
      <c r="H6" s="59">
        <v>0.04620731865</v>
      </c>
      <c r="I6" s="60">
        <f t="shared" si="4"/>
        <v>3003.475712</v>
      </c>
      <c r="J6" s="61">
        <f t="shared" si="5"/>
        <v>10.81680294</v>
      </c>
      <c r="K6" s="25">
        <v>5279.0</v>
      </c>
      <c r="L6" s="62">
        <f t="shared" si="6"/>
        <v>7.855654762</v>
      </c>
      <c r="M6" s="63">
        <f t="shared" si="7"/>
        <v>1</v>
      </c>
      <c r="N6" s="63">
        <f t="shared" si="8"/>
        <v>0.5868041667</v>
      </c>
      <c r="O6" s="25">
        <f t="shared" si="9"/>
        <v>2275.524288</v>
      </c>
      <c r="P6" s="25">
        <f t="shared" si="10"/>
        <v>3097.739196</v>
      </c>
      <c r="Q6" s="64">
        <f>C6*'Rate Codes'!$D$7</f>
        <v>48.31358</v>
      </c>
      <c r="R6" s="25">
        <f>P6*'Rate Codes'!$D$8</f>
        <v>40.1250158</v>
      </c>
      <c r="S6" s="65">
        <f t="shared" si="11"/>
        <v>88.4385958</v>
      </c>
      <c r="T6" s="66">
        <f>P6*'Rate Codes'!$D$8</f>
        <v>40.1250158</v>
      </c>
      <c r="U6" s="67">
        <f>(O6)*'Billing Rate'!$B$1</f>
        <v>154.7356516</v>
      </c>
      <c r="V6" s="25">
        <f t="shared" si="12"/>
        <v>128.5636116</v>
      </c>
      <c r="W6" s="25">
        <f t="shared" si="13"/>
        <v>283.2992632</v>
      </c>
      <c r="X6" s="25">
        <f t="shared" si="14"/>
        <v>14.16496316</v>
      </c>
      <c r="Y6" s="25">
        <f t="shared" si="15"/>
        <v>297.4642263</v>
      </c>
      <c r="AB6" s="8"/>
    </row>
    <row r="7">
      <c r="A7" s="58"/>
      <c r="B7" s="46" t="s">
        <v>119</v>
      </c>
      <c r="C7" s="24">
        <v>31.0</v>
      </c>
      <c r="D7" s="22">
        <v>11.8</v>
      </c>
      <c r="E7" s="23">
        <f t="shared" si="1"/>
        <v>0.4916666667</v>
      </c>
      <c r="F7" s="22">
        <f t="shared" si="2"/>
        <v>12.2</v>
      </c>
      <c r="G7" s="23">
        <f t="shared" si="3"/>
        <v>0.5083333333</v>
      </c>
      <c r="H7" s="59">
        <v>0.08500831624</v>
      </c>
      <c r="I7" s="60">
        <f t="shared" si="4"/>
        <v>5525.540556</v>
      </c>
      <c r="J7" s="61">
        <f t="shared" si="5"/>
        <v>15.10535964</v>
      </c>
      <c r="K7" s="25">
        <v>4991.0</v>
      </c>
      <c r="L7" s="62">
        <f t="shared" si="6"/>
        <v>6.708333333</v>
      </c>
      <c r="M7" s="63">
        <f t="shared" si="7"/>
        <v>1</v>
      </c>
      <c r="N7" s="63">
        <f t="shared" si="8"/>
        <v>0.5083333333</v>
      </c>
      <c r="O7" s="25">
        <f t="shared" si="9"/>
        <v>-534.5405556</v>
      </c>
      <c r="P7" s="25">
        <f t="shared" si="10"/>
        <v>2537.091667</v>
      </c>
      <c r="Q7" s="64">
        <f>C7*'Rate Codes'!$D$7</f>
        <v>53.490035</v>
      </c>
      <c r="R7" s="25">
        <f>P7*'Rate Codes'!$D$8</f>
        <v>32.86294836</v>
      </c>
      <c r="S7" s="65">
        <f t="shared" si="11"/>
        <v>86.35298336</v>
      </c>
      <c r="T7" s="66">
        <f>P7*'Rate Codes'!$D$8</f>
        <v>32.86294836</v>
      </c>
      <c r="U7" s="67">
        <f>(O7)*'Billing Rate'!$B$1</f>
        <v>-36.34875778</v>
      </c>
      <c r="V7" s="25">
        <f t="shared" si="12"/>
        <v>119.2159317</v>
      </c>
      <c r="W7" s="25">
        <f t="shared" si="13"/>
        <v>82.86717394</v>
      </c>
      <c r="X7" s="25">
        <f t="shared" si="14"/>
        <v>5.960796586</v>
      </c>
      <c r="Y7" s="25">
        <f t="shared" si="15"/>
        <v>88.82797052</v>
      </c>
      <c r="AB7" s="8"/>
    </row>
    <row r="8">
      <c r="A8" s="58"/>
      <c r="B8" s="46" t="s">
        <v>120</v>
      </c>
      <c r="C8" s="24">
        <v>30.0</v>
      </c>
      <c r="D8" s="22">
        <v>13.8</v>
      </c>
      <c r="E8" s="23">
        <f t="shared" si="1"/>
        <v>0.575</v>
      </c>
      <c r="F8" s="22">
        <f t="shared" si="2"/>
        <v>10.2</v>
      </c>
      <c r="G8" s="23">
        <f t="shared" si="3"/>
        <v>0.425</v>
      </c>
      <c r="H8" s="59">
        <v>0.108773175</v>
      </c>
      <c r="I8" s="60">
        <f t="shared" si="4"/>
        <v>7070.256375</v>
      </c>
      <c r="J8" s="61">
        <f t="shared" si="5"/>
        <v>17.07791395</v>
      </c>
      <c r="K8" s="25">
        <v>4952.0</v>
      </c>
      <c r="L8" s="62">
        <f t="shared" si="6"/>
        <v>6.877777778</v>
      </c>
      <c r="M8" s="63">
        <f t="shared" si="7"/>
        <v>1</v>
      </c>
      <c r="N8" s="63">
        <f t="shared" si="8"/>
        <v>0.425</v>
      </c>
      <c r="O8" s="25">
        <f t="shared" si="9"/>
        <v>-2118.256375</v>
      </c>
      <c r="P8" s="25">
        <f t="shared" si="10"/>
        <v>2104.6</v>
      </c>
      <c r="Q8" s="64">
        <f>C8*'Rate Codes'!$D$7</f>
        <v>51.76455</v>
      </c>
      <c r="R8" s="25">
        <f>P8*'Rate Codes'!$D$8</f>
        <v>27.2608838</v>
      </c>
      <c r="S8" s="65">
        <f t="shared" si="11"/>
        <v>79.0254338</v>
      </c>
      <c r="T8" s="66">
        <f>P8*'Rate Codes'!$D$8</f>
        <v>27.2608838</v>
      </c>
      <c r="U8" s="67">
        <f>(O8)*'Billing Rate'!$B$1</f>
        <v>-144.0414335</v>
      </c>
      <c r="V8" s="25">
        <f t="shared" si="12"/>
        <v>106.2863176</v>
      </c>
      <c r="W8" s="25">
        <f t="shared" si="13"/>
        <v>-37.7551159</v>
      </c>
      <c r="X8" s="25">
        <f t="shared" si="14"/>
        <v>5.31431588</v>
      </c>
      <c r="Y8" s="25">
        <f t="shared" si="15"/>
        <v>-32.44080002</v>
      </c>
      <c r="AB8" s="8"/>
    </row>
    <row r="9">
      <c r="A9" s="58"/>
      <c r="B9" s="46" t="s">
        <v>98</v>
      </c>
      <c r="C9" s="24">
        <v>31.0</v>
      </c>
      <c r="D9" s="22">
        <v>15.5333</v>
      </c>
      <c r="E9" s="23">
        <f t="shared" si="1"/>
        <v>0.6472208333</v>
      </c>
      <c r="F9" s="22">
        <f t="shared" si="2"/>
        <v>8.4667</v>
      </c>
      <c r="G9" s="23">
        <f t="shared" si="3"/>
        <v>0.3527791667</v>
      </c>
      <c r="H9" s="59">
        <v>0.1281742617</v>
      </c>
      <c r="I9" s="60">
        <f t="shared" si="4"/>
        <v>8331.327011</v>
      </c>
      <c r="J9" s="61">
        <f t="shared" si="5"/>
        <v>17.3016992</v>
      </c>
      <c r="K9" s="25">
        <v>5559.0</v>
      </c>
      <c r="L9" s="62">
        <f t="shared" si="6"/>
        <v>7.471774194</v>
      </c>
      <c r="M9" s="63">
        <f t="shared" si="7"/>
        <v>1</v>
      </c>
      <c r="N9" s="63">
        <f t="shared" si="8"/>
        <v>0.3527791667</v>
      </c>
      <c r="O9" s="25">
        <f t="shared" si="9"/>
        <v>-2772.327011</v>
      </c>
      <c r="P9" s="25">
        <f t="shared" si="10"/>
        <v>1961.099388</v>
      </c>
      <c r="Q9" s="64">
        <f>C9*'Rate Codes'!$D$7</f>
        <v>53.490035</v>
      </c>
      <c r="R9" s="25">
        <f>P9*'Rate Codes'!$D$8</f>
        <v>25.40212037</v>
      </c>
      <c r="S9" s="65">
        <f t="shared" si="11"/>
        <v>78.89215537</v>
      </c>
      <c r="T9" s="66">
        <f>P9*'Rate Codes'!$D$8</f>
        <v>25.40212037</v>
      </c>
      <c r="U9" s="67">
        <f>(O9)*'Billing Rate'!$B$1</f>
        <v>-188.5182367</v>
      </c>
      <c r="V9" s="25">
        <f t="shared" si="12"/>
        <v>104.2942757</v>
      </c>
      <c r="W9" s="25">
        <f t="shared" si="13"/>
        <v>-84.22396098</v>
      </c>
      <c r="X9" s="25">
        <f t="shared" si="14"/>
        <v>5.214713787</v>
      </c>
      <c r="Y9" s="25">
        <f t="shared" si="15"/>
        <v>-79.00924719</v>
      </c>
      <c r="AB9" s="8"/>
    </row>
    <row r="10">
      <c r="A10" s="58"/>
      <c r="B10" s="46" t="s">
        <v>121</v>
      </c>
      <c r="C10" s="24">
        <v>30.0</v>
      </c>
      <c r="D10" s="22">
        <v>16.4667</v>
      </c>
      <c r="E10" s="23">
        <f t="shared" si="1"/>
        <v>0.6861125</v>
      </c>
      <c r="F10" s="22">
        <f t="shared" si="2"/>
        <v>7.5333</v>
      </c>
      <c r="G10" s="23">
        <f t="shared" si="3"/>
        <v>0.3138875</v>
      </c>
      <c r="H10" s="59">
        <v>0.1254860808</v>
      </c>
      <c r="I10" s="60">
        <f t="shared" si="4"/>
        <v>8156.595252</v>
      </c>
      <c r="J10" s="61">
        <f t="shared" si="5"/>
        <v>16.511293</v>
      </c>
      <c r="K10" s="25">
        <v>4964.0</v>
      </c>
      <c r="L10" s="62">
        <f t="shared" si="6"/>
        <v>6.894444444</v>
      </c>
      <c r="M10" s="63">
        <f t="shared" si="7"/>
        <v>1</v>
      </c>
      <c r="N10" s="63">
        <f t="shared" si="8"/>
        <v>0.3138875</v>
      </c>
      <c r="O10" s="25">
        <f t="shared" si="9"/>
        <v>-3192.595252</v>
      </c>
      <c r="P10" s="25">
        <f t="shared" si="10"/>
        <v>1558.13755</v>
      </c>
      <c r="Q10" s="64">
        <f>C10*'Rate Codes'!$D$7</f>
        <v>51.76455</v>
      </c>
      <c r="R10" s="25">
        <f>P10*'Rate Codes'!$D$8</f>
        <v>20.18255569</v>
      </c>
      <c r="S10" s="65">
        <f t="shared" si="11"/>
        <v>71.94710569</v>
      </c>
      <c r="T10" s="66">
        <f>P10*'Rate Codes'!$D$8</f>
        <v>20.18255569</v>
      </c>
      <c r="U10" s="67">
        <f>(O10)*'Billing Rate'!$B$1</f>
        <v>-217.0964771</v>
      </c>
      <c r="V10" s="25">
        <f t="shared" si="12"/>
        <v>92.12966137</v>
      </c>
      <c r="W10" s="25">
        <f t="shared" si="13"/>
        <v>-124.9668158</v>
      </c>
      <c r="X10" s="25">
        <f t="shared" si="14"/>
        <v>4.606483069</v>
      </c>
      <c r="Y10" s="25">
        <f t="shared" si="15"/>
        <v>-120.3603327</v>
      </c>
      <c r="AB10" s="8"/>
    </row>
    <row r="11">
      <c r="A11" s="58"/>
      <c r="B11" s="46" t="s">
        <v>122</v>
      </c>
      <c r="C11" s="24">
        <v>31.0</v>
      </c>
      <c r="D11" s="22">
        <v>16.05</v>
      </c>
      <c r="E11" s="23">
        <f t="shared" si="1"/>
        <v>0.66875</v>
      </c>
      <c r="F11" s="22">
        <f t="shared" si="2"/>
        <v>7.95</v>
      </c>
      <c r="G11" s="23">
        <f t="shared" si="3"/>
        <v>0.33125</v>
      </c>
      <c r="H11" s="59">
        <v>0.1449493112</v>
      </c>
      <c r="I11" s="60">
        <f t="shared" si="4"/>
        <v>9421.705228</v>
      </c>
      <c r="J11" s="61">
        <f t="shared" si="5"/>
        <v>18.93619783</v>
      </c>
      <c r="K11" s="25">
        <v>6634.0</v>
      </c>
      <c r="L11" s="62">
        <f t="shared" si="6"/>
        <v>8.916666667</v>
      </c>
      <c r="M11" s="63">
        <f t="shared" si="7"/>
        <v>1</v>
      </c>
      <c r="N11" s="63">
        <f t="shared" si="8"/>
        <v>0.33125</v>
      </c>
      <c r="O11" s="25">
        <f t="shared" si="9"/>
        <v>-2787.705228</v>
      </c>
      <c r="P11" s="25">
        <f t="shared" si="10"/>
        <v>2197.5125</v>
      </c>
      <c r="Q11" s="64">
        <f>C11*'Rate Codes'!$D$7</f>
        <v>53.490035</v>
      </c>
      <c r="R11" s="25">
        <f>P11*'Rate Codes'!$D$8</f>
        <v>28.46437941</v>
      </c>
      <c r="S11" s="65">
        <f t="shared" si="11"/>
        <v>81.95441441</v>
      </c>
      <c r="T11" s="66">
        <f>P11*'Rate Codes'!$D$8</f>
        <v>28.46437941</v>
      </c>
      <c r="U11" s="67">
        <f>(O11)*'Billing Rate'!$B$1</f>
        <v>-189.5639555</v>
      </c>
      <c r="V11" s="25">
        <f t="shared" si="12"/>
        <v>110.4187938</v>
      </c>
      <c r="W11" s="25">
        <f t="shared" si="13"/>
        <v>-79.14516168</v>
      </c>
      <c r="X11" s="25">
        <f t="shared" si="14"/>
        <v>5.520939691</v>
      </c>
      <c r="Y11" s="25">
        <f t="shared" si="15"/>
        <v>-73.62422199</v>
      </c>
      <c r="AB11" s="8"/>
    </row>
    <row r="12">
      <c r="A12" s="58"/>
      <c r="B12" s="46" t="s">
        <v>123</v>
      </c>
      <c r="C12" s="24">
        <v>31.0</v>
      </c>
      <c r="D12" s="22">
        <v>14.5167</v>
      </c>
      <c r="E12" s="23">
        <f t="shared" si="1"/>
        <v>0.6048625</v>
      </c>
      <c r="F12" s="22">
        <f t="shared" si="2"/>
        <v>9.4833</v>
      </c>
      <c r="G12" s="23">
        <f t="shared" si="3"/>
        <v>0.3951375</v>
      </c>
      <c r="H12" s="59">
        <v>0.1246952409</v>
      </c>
      <c r="I12" s="60">
        <f t="shared" si="4"/>
        <v>8105.190659</v>
      </c>
      <c r="J12" s="61">
        <f t="shared" si="5"/>
        <v>18.01082637</v>
      </c>
      <c r="K12" s="25">
        <v>5909.0</v>
      </c>
      <c r="L12" s="62">
        <f t="shared" si="6"/>
        <v>7.942204301</v>
      </c>
      <c r="M12" s="63">
        <f t="shared" si="7"/>
        <v>1</v>
      </c>
      <c r="N12" s="63">
        <f t="shared" si="8"/>
        <v>0.3951375</v>
      </c>
      <c r="O12" s="25">
        <f t="shared" si="9"/>
        <v>-2196.190659</v>
      </c>
      <c r="P12" s="25">
        <f t="shared" si="10"/>
        <v>2334.867488</v>
      </c>
      <c r="Q12" s="64">
        <f>C12*'Rate Codes'!$D$7</f>
        <v>53.490035</v>
      </c>
      <c r="R12" s="25">
        <f>P12*'Rate Codes'!$D$8</f>
        <v>30.24353857</v>
      </c>
      <c r="S12" s="65">
        <f t="shared" si="11"/>
        <v>83.73357357</v>
      </c>
      <c r="T12" s="66">
        <f>P12*'Rate Codes'!$D$8</f>
        <v>30.24353857</v>
      </c>
      <c r="U12" s="67">
        <f>(O12)*'Billing Rate'!$B$1</f>
        <v>-149.3409648</v>
      </c>
      <c r="V12" s="25">
        <f t="shared" si="12"/>
        <v>113.9771121</v>
      </c>
      <c r="W12" s="25">
        <f t="shared" si="13"/>
        <v>-35.36385265</v>
      </c>
      <c r="X12" s="25">
        <f t="shared" si="14"/>
        <v>5.698855607</v>
      </c>
      <c r="Y12" s="25">
        <f t="shared" si="15"/>
        <v>-29.66499704</v>
      </c>
      <c r="AB12" s="8"/>
    </row>
    <row r="13">
      <c r="A13" s="58"/>
      <c r="B13" s="46" t="s">
        <v>124</v>
      </c>
      <c r="C13" s="24">
        <v>30.0</v>
      </c>
      <c r="D13" s="22">
        <v>12.5833</v>
      </c>
      <c r="E13" s="23">
        <f t="shared" si="1"/>
        <v>0.5243041667</v>
      </c>
      <c r="F13" s="22">
        <f t="shared" si="2"/>
        <v>11.4167</v>
      </c>
      <c r="G13" s="23">
        <f t="shared" si="3"/>
        <v>0.4756958333</v>
      </c>
      <c r="H13" s="59">
        <v>0.09825803101</v>
      </c>
      <c r="I13" s="60">
        <f t="shared" si="4"/>
        <v>6386.772016</v>
      </c>
      <c r="J13" s="61">
        <f t="shared" si="5"/>
        <v>16.91864618</v>
      </c>
      <c r="K13" s="25">
        <v>5270.0</v>
      </c>
      <c r="L13" s="62">
        <f t="shared" si="6"/>
        <v>7.319444444</v>
      </c>
      <c r="M13" s="63">
        <f t="shared" si="7"/>
        <v>1</v>
      </c>
      <c r="N13" s="63">
        <f t="shared" si="8"/>
        <v>0.4756958333</v>
      </c>
      <c r="O13" s="25">
        <f t="shared" si="9"/>
        <v>-1116.772016</v>
      </c>
      <c r="P13" s="25">
        <f t="shared" si="10"/>
        <v>2506.917042</v>
      </c>
      <c r="Q13" s="64">
        <f>C13*'Rate Codes'!$D$7</f>
        <v>51.76455</v>
      </c>
      <c r="R13" s="25">
        <f>P13*'Rate Codes'!$D$8</f>
        <v>32.47209644</v>
      </c>
      <c r="S13" s="65">
        <f t="shared" si="11"/>
        <v>84.23664644</v>
      </c>
      <c r="T13" s="66">
        <f>P13*'Rate Codes'!$D$8</f>
        <v>32.47209644</v>
      </c>
      <c r="U13" s="67">
        <f>(O13)*'Billing Rate'!$B$1</f>
        <v>-75.94049706</v>
      </c>
      <c r="V13" s="25">
        <f t="shared" si="12"/>
        <v>116.7087429</v>
      </c>
      <c r="W13" s="25">
        <f t="shared" si="13"/>
        <v>40.76824582</v>
      </c>
      <c r="X13" s="25">
        <f t="shared" si="14"/>
        <v>5.835437144</v>
      </c>
      <c r="Y13" s="25">
        <f t="shared" si="15"/>
        <v>46.60368296</v>
      </c>
      <c r="AB13" s="8"/>
    </row>
    <row r="14">
      <c r="A14" s="58"/>
      <c r="B14" s="46" t="s">
        <v>125</v>
      </c>
      <c r="C14" s="24">
        <v>31.0</v>
      </c>
      <c r="D14" s="22">
        <v>10.5833</v>
      </c>
      <c r="E14" s="23">
        <f t="shared" si="1"/>
        <v>0.4409708333</v>
      </c>
      <c r="F14" s="22">
        <f t="shared" si="2"/>
        <v>13.4167</v>
      </c>
      <c r="G14" s="23">
        <f t="shared" si="3"/>
        <v>0.5590291667</v>
      </c>
      <c r="H14" s="59">
        <v>0.06840443866</v>
      </c>
      <c r="I14" s="60">
        <f t="shared" si="4"/>
        <v>4446.288513</v>
      </c>
      <c r="J14" s="61">
        <f t="shared" si="5"/>
        <v>13.55235718</v>
      </c>
      <c r="K14" s="25">
        <v>5946.0</v>
      </c>
      <c r="L14" s="62">
        <f t="shared" si="6"/>
        <v>7.991935484</v>
      </c>
      <c r="M14" s="63">
        <f t="shared" si="7"/>
        <v>1</v>
      </c>
      <c r="N14" s="63">
        <f t="shared" si="8"/>
        <v>0.5590291667</v>
      </c>
      <c r="O14" s="25">
        <f t="shared" si="9"/>
        <v>1499.711487</v>
      </c>
      <c r="P14" s="25">
        <f t="shared" si="10"/>
        <v>3323.987425</v>
      </c>
      <c r="Q14" s="64">
        <f>C14*'Rate Codes'!$D$7</f>
        <v>53.490035</v>
      </c>
      <c r="R14" s="25">
        <f>P14*'Rate Codes'!$D$8</f>
        <v>43.05560912</v>
      </c>
      <c r="S14" s="65">
        <f t="shared" si="11"/>
        <v>96.54564412</v>
      </c>
      <c r="T14" s="66">
        <f>P14*'Rate Codes'!$D$8</f>
        <v>43.05560912</v>
      </c>
      <c r="U14" s="67">
        <f>(O14)*'Billing Rate'!$B$1</f>
        <v>101.9803811</v>
      </c>
      <c r="V14" s="25">
        <f t="shared" si="12"/>
        <v>139.6012532</v>
      </c>
      <c r="W14" s="25">
        <f t="shared" si="13"/>
        <v>241.5816344</v>
      </c>
      <c r="X14" s="25">
        <f t="shared" si="14"/>
        <v>12.07908172</v>
      </c>
      <c r="Y14" s="25">
        <f t="shared" si="15"/>
        <v>253.6607161</v>
      </c>
      <c r="AB14" s="8"/>
    </row>
    <row r="15">
      <c r="A15" s="58"/>
      <c r="B15" s="46" t="s">
        <v>126</v>
      </c>
      <c r="C15" s="24">
        <v>30.0</v>
      </c>
      <c r="D15" s="22">
        <v>8.85</v>
      </c>
      <c r="E15" s="23">
        <f t="shared" si="1"/>
        <v>0.36875</v>
      </c>
      <c r="F15" s="22">
        <f t="shared" si="2"/>
        <v>15.15</v>
      </c>
      <c r="G15" s="23">
        <f t="shared" si="3"/>
        <v>0.63125</v>
      </c>
      <c r="H15" s="59">
        <v>0.0271408052</v>
      </c>
      <c r="I15" s="60">
        <f t="shared" si="4"/>
        <v>1764.152338</v>
      </c>
      <c r="J15" s="61">
        <f t="shared" si="5"/>
        <v>6.644641574</v>
      </c>
      <c r="K15" s="25">
        <v>5587.0</v>
      </c>
      <c r="L15" s="62">
        <f t="shared" si="6"/>
        <v>7.759722222</v>
      </c>
      <c r="M15" s="63">
        <f t="shared" si="7"/>
        <v>0.8562988963</v>
      </c>
      <c r="N15" s="63">
        <f t="shared" si="8"/>
        <v>0.684239782</v>
      </c>
      <c r="O15" s="25">
        <f t="shared" si="9"/>
        <v>3822.847662</v>
      </c>
      <c r="P15" s="25">
        <f t="shared" si="10"/>
        <v>3822.847662</v>
      </c>
      <c r="Q15" s="64">
        <f>C15*'Rate Codes'!$D$7</f>
        <v>51.76455</v>
      </c>
      <c r="R15" s="25">
        <f>P15*'Rate Codes'!$D$8</f>
        <v>49.51734577</v>
      </c>
      <c r="S15" s="65">
        <f t="shared" si="11"/>
        <v>101.2818958</v>
      </c>
      <c r="T15" s="66">
        <f>P15*'Rate Codes'!$D$8</f>
        <v>49.51734577</v>
      </c>
      <c r="U15" s="67">
        <f>(O15)*'Billing Rate'!$B$1</f>
        <v>259.953641</v>
      </c>
      <c r="V15" s="25">
        <f t="shared" si="12"/>
        <v>150.7992415</v>
      </c>
      <c r="W15" s="25">
        <f t="shared" si="13"/>
        <v>410.7528825</v>
      </c>
      <c r="X15" s="25">
        <f t="shared" si="14"/>
        <v>20.53764413</v>
      </c>
      <c r="Y15" s="25">
        <f t="shared" si="15"/>
        <v>431.2905267</v>
      </c>
      <c r="AB15" s="8"/>
    </row>
    <row r="16">
      <c r="A16" s="58"/>
      <c r="B16" s="46" t="s">
        <v>127</v>
      </c>
      <c r="C16" s="24">
        <v>31.0</v>
      </c>
      <c r="D16" s="22">
        <v>7.9667</v>
      </c>
      <c r="E16" s="23">
        <f t="shared" si="1"/>
        <v>0.3319458333</v>
      </c>
      <c r="F16" s="22">
        <f t="shared" si="2"/>
        <v>16.0333</v>
      </c>
      <c r="G16" s="23">
        <f t="shared" si="3"/>
        <v>0.6680541667</v>
      </c>
      <c r="H16" s="59">
        <v>0.01559005293</v>
      </c>
      <c r="I16" s="60">
        <f t="shared" si="4"/>
        <v>1013.35344</v>
      </c>
      <c r="J16" s="61">
        <f t="shared" si="5"/>
        <v>4.103182078</v>
      </c>
      <c r="K16" s="25">
        <v>5490.0</v>
      </c>
      <c r="L16" s="62">
        <f t="shared" si="6"/>
        <v>7.379032258</v>
      </c>
      <c r="M16" s="63">
        <f t="shared" si="7"/>
        <v>0.5560596477</v>
      </c>
      <c r="N16" s="63">
        <f t="shared" si="8"/>
        <v>0.8154183169</v>
      </c>
      <c r="O16" s="25">
        <f t="shared" si="9"/>
        <v>4476.64656</v>
      </c>
      <c r="P16" s="25">
        <f t="shared" si="10"/>
        <v>4476.64656</v>
      </c>
      <c r="Q16" s="64">
        <f>C16*'Rate Codes'!$D$7</f>
        <v>53.490035</v>
      </c>
      <c r="R16" s="25">
        <f>P16*'Rate Codes'!$D$8</f>
        <v>57.98600289</v>
      </c>
      <c r="S16" s="65">
        <f t="shared" si="11"/>
        <v>111.4760379</v>
      </c>
      <c r="T16" s="66">
        <f>P16*'Rate Codes'!$D$8</f>
        <v>57.98600289</v>
      </c>
      <c r="U16" s="67">
        <f>(O16)*'Billing Rate'!$B$1</f>
        <v>304.411966</v>
      </c>
      <c r="V16" s="25">
        <f t="shared" si="12"/>
        <v>169.4620408</v>
      </c>
      <c r="W16" s="25">
        <f t="shared" si="13"/>
        <v>473.8740068</v>
      </c>
      <c r="X16" s="25">
        <f t="shared" si="14"/>
        <v>23.69370034</v>
      </c>
      <c r="Y16" s="25">
        <f t="shared" si="15"/>
        <v>497.5677072</v>
      </c>
      <c r="AB16" s="8"/>
    </row>
    <row r="17">
      <c r="A17" s="41"/>
      <c r="B17" s="44" t="s">
        <v>109</v>
      </c>
      <c r="C17" s="44"/>
      <c r="D17" s="44"/>
      <c r="E17" s="44"/>
      <c r="F17" s="44"/>
      <c r="G17" s="44"/>
      <c r="H17" s="68">
        <f t="shared" ref="H17:I17" si="16">SUM(H5:H16)</f>
        <v>1</v>
      </c>
      <c r="I17" s="69">
        <f t="shared" si="16"/>
        <v>65000</v>
      </c>
      <c r="J17" s="60"/>
      <c r="K17" s="48">
        <f>SUM(K5:K16)</f>
        <v>66307</v>
      </c>
      <c r="L17" s="25"/>
      <c r="M17" s="62"/>
      <c r="N17" s="63">
        <f>G17*M17</f>
        <v>0</v>
      </c>
      <c r="O17" s="48">
        <f t="shared" ref="O17:U17" si="17">SUM(O5:O16)</f>
        <v>1306.999999</v>
      </c>
      <c r="P17" s="48">
        <f t="shared" si="17"/>
        <v>33872.10357</v>
      </c>
      <c r="Q17" s="70">
        <f t="shared" si="17"/>
        <v>629.802025</v>
      </c>
      <c r="R17" s="71">
        <f t="shared" si="17"/>
        <v>438.7453576</v>
      </c>
      <c r="S17" s="72">
        <f t="shared" si="17"/>
        <v>1068.547383</v>
      </c>
      <c r="T17" s="73">
        <f t="shared" si="17"/>
        <v>438.7453576</v>
      </c>
      <c r="U17" s="74">
        <f t="shared" si="17"/>
        <v>88.87599996</v>
      </c>
      <c r="V17" s="48">
        <f t="shared" si="12"/>
        <v>1507.29274</v>
      </c>
      <c r="W17" s="48">
        <f t="shared" ref="W17:Y17" si="18">SUM(W5:W16)</f>
        <v>1596.16874</v>
      </c>
      <c r="X17" s="48">
        <f t="shared" si="18"/>
        <v>129.8509531</v>
      </c>
      <c r="Y17" s="48">
        <f t="shared" si="18"/>
        <v>1726.019693</v>
      </c>
    </row>
    <row r="19">
      <c r="A19" s="1">
        <v>1.0</v>
      </c>
      <c r="B19" s="1" t="s">
        <v>128</v>
      </c>
      <c r="C19" s="1"/>
      <c r="D19" s="1"/>
      <c r="E19" s="1"/>
      <c r="F19" s="1"/>
      <c r="G19" s="1"/>
      <c r="H19" s="1">
        <f>$H$1* POWER((1 -$O$1),A19)</f>
        <v>64675</v>
      </c>
      <c r="I19" s="1" t="s">
        <v>132</v>
      </c>
      <c r="J19" s="1"/>
      <c r="K19" s="8">
        <f>H19/K33</f>
        <v>0.975387214</v>
      </c>
      <c r="L19" s="8"/>
      <c r="M19" s="8"/>
      <c r="N19" s="8"/>
      <c r="O19" s="1" t="s">
        <v>133</v>
      </c>
      <c r="P19" s="6">
        <f>1-K19</f>
        <v>0.02461278598</v>
      </c>
      <c r="Q19" s="1" t="s">
        <v>74</v>
      </c>
      <c r="T19" s="1" t="s">
        <v>78</v>
      </c>
    </row>
    <row r="20">
      <c r="A20" s="41"/>
      <c r="B20" s="44" t="s">
        <v>83</v>
      </c>
      <c r="C20" s="20" t="s">
        <v>88</v>
      </c>
      <c r="D20" s="20" t="s">
        <v>84</v>
      </c>
      <c r="E20" s="20" t="s">
        <v>85</v>
      </c>
      <c r="F20" s="20" t="s">
        <v>86</v>
      </c>
      <c r="G20" s="20" t="s">
        <v>87</v>
      </c>
      <c r="H20" s="20" t="s">
        <v>134</v>
      </c>
      <c r="I20" s="44" t="s">
        <v>135</v>
      </c>
      <c r="J20" s="53" t="s">
        <v>92</v>
      </c>
      <c r="K20" s="20" t="s">
        <v>89</v>
      </c>
      <c r="L20" s="53" t="s">
        <v>90</v>
      </c>
      <c r="M20" s="53" t="s">
        <v>136</v>
      </c>
      <c r="N20" s="53" t="s">
        <v>137</v>
      </c>
      <c r="O20" s="20" t="s">
        <v>138</v>
      </c>
      <c r="P20" s="20" t="s">
        <v>139</v>
      </c>
      <c r="Q20" s="20" t="s">
        <v>76</v>
      </c>
      <c r="R20" s="20" t="s">
        <v>82</v>
      </c>
      <c r="S20" s="20" t="s">
        <v>109</v>
      </c>
      <c r="T20" s="20" t="s">
        <v>80</v>
      </c>
      <c r="U20" s="20" t="s">
        <v>67</v>
      </c>
      <c r="V20" s="45" t="s">
        <v>114</v>
      </c>
      <c r="W20" s="45" t="s">
        <v>115</v>
      </c>
      <c r="X20" s="45" t="s">
        <v>60</v>
      </c>
      <c r="Y20" s="45" t="s">
        <v>109</v>
      </c>
    </row>
    <row r="21">
      <c r="A21" s="75"/>
      <c r="B21" s="46" t="s">
        <v>117</v>
      </c>
      <c r="C21" s="24">
        <v>31.0</v>
      </c>
      <c r="D21" s="22">
        <v>8.45</v>
      </c>
      <c r="E21" s="23">
        <f t="shared" ref="E21:E32" si="19">D21/24</f>
        <v>0.3520833333</v>
      </c>
      <c r="F21" s="22">
        <f t="shared" ref="F21:F32" si="20">24-D21</f>
        <v>15.55</v>
      </c>
      <c r="G21" s="23">
        <f t="shared" ref="G21:G32" si="21">F21/24</f>
        <v>0.6479166667</v>
      </c>
      <c r="H21" s="59">
        <v>0.02731296772</v>
      </c>
      <c r="I21" s="60">
        <f t="shared" ref="I21:I32" si="22">H$19*H21</f>
        <v>1766.466187</v>
      </c>
      <c r="J21" s="61">
        <f t="shared" ref="J21:J32" si="23">I21/C21/D21</f>
        <v>6.743524288</v>
      </c>
      <c r="K21" s="25">
        <v>5726.0</v>
      </c>
      <c r="L21" s="62">
        <f t="shared" ref="L21:L32" si="24">K21/C21/24</f>
        <v>7.696236559</v>
      </c>
      <c r="M21" s="63">
        <f t="shared" ref="M21:M32" si="25">IF((J21/L21)&gt;1,1,J21/L21)</f>
        <v>0.8762106305</v>
      </c>
      <c r="N21" s="63">
        <f t="shared" ref="N21:N32" si="26">1-E21*M21</f>
        <v>0.6915008405</v>
      </c>
      <c r="O21" s="25">
        <f t="shared" ref="O21:O32" si="27">K21-I21</f>
        <v>3959.533813</v>
      </c>
      <c r="P21" s="25">
        <f t="shared" ref="P21:P32" si="28">K21*N21</f>
        <v>3959.533813</v>
      </c>
      <c r="Q21" s="64">
        <f>C21*'Rate Codes'!$D$7</f>
        <v>53.490035</v>
      </c>
      <c r="R21" s="25">
        <f>P21*'Rate Codes'!$D$8</f>
        <v>51.28784148</v>
      </c>
      <c r="S21" s="25">
        <f t="shared" ref="S21:S32" si="29">SUM(Q21:R21)</f>
        <v>104.7778765</v>
      </c>
      <c r="T21" s="66">
        <f>P21*'Rate Codes'!$D$8</f>
        <v>51.28784148</v>
      </c>
      <c r="U21" s="67">
        <f>(O21)*'Billing Rate'!$B$1</f>
        <v>269.2482993</v>
      </c>
      <c r="V21" s="25">
        <f t="shared" ref="V21:V33" si="30">S21+T21</f>
        <v>156.065718</v>
      </c>
      <c r="W21" s="25">
        <f t="shared" ref="W21:W32" si="31">U21+S21+T21</f>
        <v>425.3140172</v>
      </c>
      <c r="X21" s="25">
        <f t="shared" ref="X21:X32" si="32">(IF(U21&gt;0,U21,0)+V21)*0.05</f>
        <v>21.26570086</v>
      </c>
      <c r="Y21" s="25">
        <f t="shared" ref="Y21:Y32" si="33">W21+X21</f>
        <v>446.5797181</v>
      </c>
    </row>
    <row r="22">
      <c r="A22" s="75"/>
      <c r="B22" s="46" t="s">
        <v>118</v>
      </c>
      <c r="C22" s="24">
        <v>28.0</v>
      </c>
      <c r="D22" s="22">
        <v>9.9167</v>
      </c>
      <c r="E22" s="23">
        <f t="shared" si="19"/>
        <v>0.4131958333</v>
      </c>
      <c r="F22" s="22">
        <f t="shared" si="20"/>
        <v>14.0833</v>
      </c>
      <c r="G22" s="23">
        <f t="shared" si="21"/>
        <v>0.5868041667</v>
      </c>
      <c r="H22" s="59">
        <v>0.04620731865</v>
      </c>
      <c r="I22" s="60">
        <f t="shared" si="22"/>
        <v>2988.458334</v>
      </c>
      <c r="J22" s="61">
        <f t="shared" si="23"/>
        <v>10.76271893</v>
      </c>
      <c r="K22" s="25">
        <v>5279.0</v>
      </c>
      <c r="L22" s="62">
        <f t="shared" si="24"/>
        <v>7.855654762</v>
      </c>
      <c r="M22" s="63">
        <f t="shared" si="25"/>
        <v>1</v>
      </c>
      <c r="N22" s="63">
        <f t="shared" si="26"/>
        <v>0.5868041667</v>
      </c>
      <c r="O22" s="25">
        <f t="shared" si="27"/>
        <v>2290.541666</v>
      </c>
      <c r="P22" s="25">
        <f t="shared" si="28"/>
        <v>3097.739196</v>
      </c>
      <c r="Q22" s="64">
        <f>C22*'Rate Codes'!$D$7</f>
        <v>48.31358</v>
      </c>
      <c r="R22" s="25">
        <f>P22*'Rate Codes'!$D$8</f>
        <v>40.1250158</v>
      </c>
      <c r="S22" s="25">
        <f t="shared" si="29"/>
        <v>88.4385958</v>
      </c>
      <c r="T22" s="66">
        <f>P22*'Rate Codes'!$D$8</f>
        <v>40.1250158</v>
      </c>
      <c r="U22" s="67">
        <f>(O22)*'Billing Rate'!$B$1</f>
        <v>155.7568333</v>
      </c>
      <c r="V22" s="25">
        <f t="shared" si="30"/>
        <v>128.5636116</v>
      </c>
      <c r="W22" s="25">
        <f t="shared" si="31"/>
        <v>284.3204449</v>
      </c>
      <c r="X22" s="25">
        <f t="shared" si="32"/>
        <v>14.21602225</v>
      </c>
      <c r="Y22" s="25">
        <f t="shared" si="33"/>
        <v>298.5364672</v>
      </c>
    </row>
    <row r="23">
      <c r="A23" s="75"/>
      <c r="B23" s="46" t="s">
        <v>119</v>
      </c>
      <c r="C23" s="24">
        <v>31.0</v>
      </c>
      <c r="D23" s="22">
        <v>11.8</v>
      </c>
      <c r="E23" s="23">
        <f t="shared" si="19"/>
        <v>0.4916666667</v>
      </c>
      <c r="F23" s="22">
        <f t="shared" si="20"/>
        <v>12.2</v>
      </c>
      <c r="G23" s="23">
        <f t="shared" si="21"/>
        <v>0.5083333333</v>
      </c>
      <c r="H23" s="59">
        <v>0.08500831624</v>
      </c>
      <c r="I23" s="60">
        <f t="shared" si="22"/>
        <v>5497.912853</v>
      </c>
      <c r="J23" s="61">
        <f t="shared" si="23"/>
        <v>15.02983284</v>
      </c>
      <c r="K23" s="25">
        <v>4991.0</v>
      </c>
      <c r="L23" s="62">
        <f t="shared" si="24"/>
        <v>6.708333333</v>
      </c>
      <c r="M23" s="63">
        <f t="shared" si="25"/>
        <v>1</v>
      </c>
      <c r="N23" s="63">
        <f t="shared" si="26"/>
        <v>0.5083333333</v>
      </c>
      <c r="O23" s="25">
        <f t="shared" si="27"/>
        <v>-506.9128528</v>
      </c>
      <c r="P23" s="25">
        <f t="shared" si="28"/>
        <v>2537.091667</v>
      </c>
      <c r="Q23" s="64">
        <f>C23*'Rate Codes'!$D$7</f>
        <v>53.490035</v>
      </c>
      <c r="R23" s="25">
        <f>P23*'Rate Codes'!$D$8</f>
        <v>32.86294836</v>
      </c>
      <c r="S23" s="25">
        <f t="shared" si="29"/>
        <v>86.35298336</v>
      </c>
      <c r="T23" s="66">
        <f>P23*'Rate Codes'!$D$8</f>
        <v>32.86294836</v>
      </c>
      <c r="U23" s="67">
        <f>(O23)*'Billing Rate'!$B$1</f>
        <v>-34.47007399</v>
      </c>
      <c r="V23" s="25">
        <f t="shared" si="30"/>
        <v>119.2159317</v>
      </c>
      <c r="W23" s="25">
        <f t="shared" si="31"/>
        <v>84.74585772</v>
      </c>
      <c r="X23" s="25">
        <f t="shared" si="32"/>
        <v>5.960796586</v>
      </c>
      <c r="Y23" s="25">
        <f t="shared" si="33"/>
        <v>90.70665431</v>
      </c>
    </row>
    <row r="24">
      <c r="A24" s="75"/>
      <c r="B24" s="46" t="s">
        <v>120</v>
      </c>
      <c r="C24" s="24">
        <v>30.0</v>
      </c>
      <c r="D24" s="22">
        <v>13.8</v>
      </c>
      <c r="E24" s="23">
        <f t="shared" si="19"/>
        <v>0.575</v>
      </c>
      <c r="F24" s="22">
        <f t="shared" si="20"/>
        <v>10.2</v>
      </c>
      <c r="G24" s="23">
        <f t="shared" si="21"/>
        <v>0.425</v>
      </c>
      <c r="H24" s="59">
        <v>0.108773175</v>
      </c>
      <c r="I24" s="60">
        <f t="shared" si="22"/>
        <v>7034.905093</v>
      </c>
      <c r="J24" s="61">
        <f t="shared" si="23"/>
        <v>16.99252438</v>
      </c>
      <c r="K24" s="25">
        <v>4952.0</v>
      </c>
      <c r="L24" s="62">
        <f t="shared" si="24"/>
        <v>6.877777778</v>
      </c>
      <c r="M24" s="63">
        <f t="shared" si="25"/>
        <v>1</v>
      </c>
      <c r="N24" s="63">
        <f t="shared" si="26"/>
        <v>0.425</v>
      </c>
      <c r="O24" s="25">
        <f t="shared" si="27"/>
        <v>-2082.905093</v>
      </c>
      <c r="P24" s="25">
        <f t="shared" si="28"/>
        <v>2104.6</v>
      </c>
      <c r="Q24" s="64">
        <f>C24*'Rate Codes'!$D$7</f>
        <v>51.76455</v>
      </c>
      <c r="R24" s="25">
        <f>P24*'Rate Codes'!$D$8</f>
        <v>27.2608838</v>
      </c>
      <c r="S24" s="25">
        <f t="shared" si="29"/>
        <v>79.0254338</v>
      </c>
      <c r="T24" s="66">
        <f>P24*'Rate Codes'!$D$8</f>
        <v>27.2608838</v>
      </c>
      <c r="U24" s="67">
        <f>(O24)*'Billing Rate'!$B$1</f>
        <v>-141.6375463</v>
      </c>
      <c r="V24" s="25">
        <f t="shared" si="30"/>
        <v>106.2863176</v>
      </c>
      <c r="W24" s="25">
        <f t="shared" si="31"/>
        <v>-35.35122873</v>
      </c>
      <c r="X24" s="25">
        <f t="shared" si="32"/>
        <v>5.31431588</v>
      </c>
      <c r="Y24" s="25">
        <f t="shared" si="33"/>
        <v>-30.03691285</v>
      </c>
    </row>
    <row r="25">
      <c r="A25" s="75"/>
      <c r="B25" s="46" t="s">
        <v>98</v>
      </c>
      <c r="C25" s="24">
        <v>31.0</v>
      </c>
      <c r="D25" s="22">
        <v>15.5333</v>
      </c>
      <c r="E25" s="23">
        <f t="shared" si="19"/>
        <v>0.6472208333</v>
      </c>
      <c r="F25" s="22">
        <f t="shared" si="20"/>
        <v>8.4667</v>
      </c>
      <c r="G25" s="23">
        <f t="shared" si="21"/>
        <v>0.3527791667</v>
      </c>
      <c r="H25" s="59">
        <v>0.1281742617</v>
      </c>
      <c r="I25" s="60">
        <f t="shared" si="22"/>
        <v>8289.670375</v>
      </c>
      <c r="J25" s="61">
        <f t="shared" si="23"/>
        <v>17.21519071</v>
      </c>
      <c r="K25" s="25">
        <v>5559.0</v>
      </c>
      <c r="L25" s="62">
        <f t="shared" si="24"/>
        <v>7.471774194</v>
      </c>
      <c r="M25" s="63">
        <f t="shared" si="25"/>
        <v>1</v>
      </c>
      <c r="N25" s="63">
        <f t="shared" si="26"/>
        <v>0.3527791667</v>
      </c>
      <c r="O25" s="25">
        <f t="shared" si="27"/>
        <v>-2730.670375</v>
      </c>
      <c r="P25" s="25">
        <f t="shared" si="28"/>
        <v>1961.099388</v>
      </c>
      <c r="Q25" s="64">
        <f>C25*'Rate Codes'!$D$7</f>
        <v>53.490035</v>
      </c>
      <c r="R25" s="25">
        <f>P25*'Rate Codes'!$D$8</f>
        <v>25.40212037</v>
      </c>
      <c r="S25" s="25">
        <f t="shared" si="29"/>
        <v>78.89215537</v>
      </c>
      <c r="T25" s="66">
        <f>P25*'Rate Codes'!$D$8</f>
        <v>25.40212037</v>
      </c>
      <c r="U25" s="67">
        <f>(O25)*'Billing Rate'!$B$1</f>
        <v>-185.6855855</v>
      </c>
      <c r="V25" s="25">
        <f t="shared" si="30"/>
        <v>104.2942757</v>
      </c>
      <c r="W25" s="25">
        <f t="shared" si="31"/>
        <v>-81.3913098</v>
      </c>
      <c r="X25" s="25">
        <f t="shared" si="32"/>
        <v>5.214713787</v>
      </c>
      <c r="Y25" s="25">
        <f t="shared" si="33"/>
        <v>-76.17659601</v>
      </c>
    </row>
    <row r="26">
      <c r="A26" s="75"/>
      <c r="B26" s="46" t="s">
        <v>121</v>
      </c>
      <c r="C26" s="24">
        <v>30.0</v>
      </c>
      <c r="D26" s="22">
        <v>16.4667</v>
      </c>
      <c r="E26" s="23">
        <f t="shared" si="19"/>
        <v>0.6861125</v>
      </c>
      <c r="F26" s="22">
        <f t="shared" si="20"/>
        <v>7.5333</v>
      </c>
      <c r="G26" s="23">
        <f t="shared" si="21"/>
        <v>0.3138875</v>
      </c>
      <c r="H26" s="59">
        <v>0.1254860808</v>
      </c>
      <c r="I26" s="60">
        <f t="shared" si="22"/>
        <v>8115.812276</v>
      </c>
      <c r="J26" s="61">
        <f t="shared" si="23"/>
        <v>16.42873653</v>
      </c>
      <c r="K26" s="25">
        <v>4964.0</v>
      </c>
      <c r="L26" s="62">
        <f t="shared" si="24"/>
        <v>6.894444444</v>
      </c>
      <c r="M26" s="63">
        <f t="shared" si="25"/>
        <v>1</v>
      </c>
      <c r="N26" s="63">
        <f t="shared" si="26"/>
        <v>0.3138875</v>
      </c>
      <c r="O26" s="25">
        <f t="shared" si="27"/>
        <v>-3151.812276</v>
      </c>
      <c r="P26" s="25">
        <f t="shared" si="28"/>
        <v>1558.13755</v>
      </c>
      <c r="Q26" s="64">
        <f>C26*'Rate Codes'!$D$7</f>
        <v>51.76455</v>
      </c>
      <c r="R26" s="25">
        <f>P26*'Rate Codes'!$D$8</f>
        <v>20.18255569</v>
      </c>
      <c r="S26" s="25">
        <f t="shared" si="29"/>
        <v>71.94710569</v>
      </c>
      <c r="T26" s="66">
        <f>P26*'Rate Codes'!$D$8</f>
        <v>20.18255569</v>
      </c>
      <c r="U26" s="67">
        <f>(O26)*'Billing Rate'!$B$1</f>
        <v>-214.3232348</v>
      </c>
      <c r="V26" s="25">
        <f t="shared" si="30"/>
        <v>92.12966137</v>
      </c>
      <c r="W26" s="25">
        <f t="shared" si="31"/>
        <v>-122.1935734</v>
      </c>
      <c r="X26" s="25">
        <f t="shared" si="32"/>
        <v>4.606483069</v>
      </c>
      <c r="Y26" s="25">
        <f t="shared" si="33"/>
        <v>-117.5870903</v>
      </c>
    </row>
    <row r="27">
      <c r="A27" s="75"/>
      <c r="B27" s="46" t="s">
        <v>122</v>
      </c>
      <c r="C27" s="24">
        <v>31.0</v>
      </c>
      <c r="D27" s="22">
        <v>16.05</v>
      </c>
      <c r="E27" s="23">
        <f t="shared" si="19"/>
        <v>0.66875</v>
      </c>
      <c r="F27" s="22">
        <f t="shared" si="20"/>
        <v>7.95</v>
      </c>
      <c r="G27" s="23">
        <f t="shared" si="21"/>
        <v>0.33125</v>
      </c>
      <c r="H27" s="59">
        <v>0.1449493112</v>
      </c>
      <c r="I27" s="60">
        <f t="shared" si="22"/>
        <v>9374.596702</v>
      </c>
      <c r="J27" s="61">
        <f t="shared" si="23"/>
        <v>18.84151684</v>
      </c>
      <c r="K27" s="25">
        <v>6634.0</v>
      </c>
      <c r="L27" s="62">
        <f t="shared" si="24"/>
        <v>8.916666667</v>
      </c>
      <c r="M27" s="63">
        <f t="shared" si="25"/>
        <v>1</v>
      </c>
      <c r="N27" s="63">
        <f t="shared" si="26"/>
        <v>0.33125</v>
      </c>
      <c r="O27" s="25">
        <f t="shared" si="27"/>
        <v>-2740.596702</v>
      </c>
      <c r="P27" s="25">
        <f t="shared" si="28"/>
        <v>2197.5125</v>
      </c>
      <c r="Q27" s="64">
        <f>C27*'Rate Codes'!$D$7</f>
        <v>53.490035</v>
      </c>
      <c r="R27" s="25">
        <f>P27*'Rate Codes'!$D$8</f>
        <v>28.46437941</v>
      </c>
      <c r="S27" s="25">
        <f t="shared" si="29"/>
        <v>81.95441441</v>
      </c>
      <c r="T27" s="66">
        <f>P27*'Rate Codes'!$D$8</f>
        <v>28.46437941</v>
      </c>
      <c r="U27" s="67">
        <f>(O27)*'Billing Rate'!$B$1</f>
        <v>-186.3605757</v>
      </c>
      <c r="V27" s="25">
        <f t="shared" si="30"/>
        <v>110.4187938</v>
      </c>
      <c r="W27" s="25">
        <f t="shared" si="31"/>
        <v>-75.9417819</v>
      </c>
      <c r="X27" s="25">
        <f t="shared" si="32"/>
        <v>5.520939691</v>
      </c>
      <c r="Y27" s="25">
        <f t="shared" si="33"/>
        <v>-70.42084221</v>
      </c>
    </row>
    <row r="28">
      <c r="A28" s="75"/>
      <c r="B28" s="46" t="s">
        <v>123</v>
      </c>
      <c r="C28" s="24">
        <v>31.0</v>
      </c>
      <c r="D28" s="22">
        <v>14.5167</v>
      </c>
      <c r="E28" s="23">
        <f t="shared" si="19"/>
        <v>0.6048625</v>
      </c>
      <c r="F28" s="22">
        <f t="shared" si="20"/>
        <v>9.4833</v>
      </c>
      <c r="G28" s="23">
        <f t="shared" si="21"/>
        <v>0.3951375</v>
      </c>
      <c r="H28" s="59">
        <v>0.1246952409</v>
      </c>
      <c r="I28" s="60">
        <f t="shared" si="22"/>
        <v>8064.664705</v>
      </c>
      <c r="J28" s="61">
        <f t="shared" si="23"/>
        <v>17.92077224</v>
      </c>
      <c r="K28" s="25">
        <v>5909.0</v>
      </c>
      <c r="L28" s="62">
        <f t="shared" si="24"/>
        <v>7.942204301</v>
      </c>
      <c r="M28" s="63">
        <f t="shared" si="25"/>
        <v>1</v>
      </c>
      <c r="N28" s="63">
        <f t="shared" si="26"/>
        <v>0.3951375</v>
      </c>
      <c r="O28" s="25">
        <f t="shared" si="27"/>
        <v>-2155.664705</v>
      </c>
      <c r="P28" s="25">
        <f t="shared" si="28"/>
        <v>2334.867488</v>
      </c>
      <c r="Q28" s="64">
        <f>C28*'Rate Codes'!$D$7</f>
        <v>53.490035</v>
      </c>
      <c r="R28" s="25">
        <f>P28*'Rate Codes'!$D$8</f>
        <v>30.24353857</v>
      </c>
      <c r="S28" s="25">
        <f t="shared" si="29"/>
        <v>83.73357357</v>
      </c>
      <c r="T28" s="66">
        <f>P28*'Rate Codes'!$D$8</f>
        <v>30.24353857</v>
      </c>
      <c r="U28" s="67">
        <f>(O28)*'Billing Rate'!$B$1</f>
        <v>-146.5852</v>
      </c>
      <c r="V28" s="25">
        <f t="shared" si="30"/>
        <v>113.9771121</v>
      </c>
      <c r="W28" s="25">
        <f t="shared" si="31"/>
        <v>-32.60808782</v>
      </c>
      <c r="X28" s="25">
        <f t="shared" si="32"/>
        <v>5.698855607</v>
      </c>
      <c r="Y28" s="25">
        <f t="shared" si="33"/>
        <v>-26.90923222</v>
      </c>
    </row>
    <row r="29">
      <c r="A29" s="75"/>
      <c r="B29" s="46" t="s">
        <v>124</v>
      </c>
      <c r="C29" s="24">
        <v>30.0</v>
      </c>
      <c r="D29" s="22">
        <v>12.5833</v>
      </c>
      <c r="E29" s="23">
        <f t="shared" si="19"/>
        <v>0.5243041667</v>
      </c>
      <c r="F29" s="22">
        <f t="shared" si="20"/>
        <v>11.4167</v>
      </c>
      <c r="G29" s="23">
        <f t="shared" si="21"/>
        <v>0.4756958333</v>
      </c>
      <c r="H29" s="59">
        <v>0.09825803101</v>
      </c>
      <c r="I29" s="60">
        <f t="shared" si="22"/>
        <v>6354.838156</v>
      </c>
      <c r="J29" s="61">
        <f t="shared" si="23"/>
        <v>16.83405295</v>
      </c>
      <c r="K29" s="25">
        <v>5270.0</v>
      </c>
      <c r="L29" s="62">
        <f t="shared" si="24"/>
        <v>7.319444444</v>
      </c>
      <c r="M29" s="63">
        <f t="shared" si="25"/>
        <v>1</v>
      </c>
      <c r="N29" s="63">
        <f t="shared" si="26"/>
        <v>0.4756958333</v>
      </c>
      <c r="O29" s="25">
        <f t="shared" si="27"/>
        <v>-1084.838156</v>
      </c>
      <c r="P29" s="25">
        <f t="shared" si="28"/>
        <v>2506.917042</v>
      </c>
      <c r="Q29" s="64">
        <f>C29*'Rate Codes'!$D$7</f>
        <v>51.76455</v>
      </c>
      <c r="R29" s="25">
        <f>P29*'Rate Codes'!$D$8</f>
        <v>32.47209644</v>
      </c>
      <c r="S29" s="25">
        <f t="shared" si="29"/>
        <v>84.23664644</v>
      </c>
      <c r="T29" s="66">
        <f>P29*'Rate Codes'!$D$8</f>
        <v>32.47209644</v>
      </c>
      <c r="U29" s="67">
        <f>(O29)*'Billing Rate'!$B$1</f>
        <v>-73.76899458</v>
      </c>
      <c r="V29" s="25">
        <f t="shared" si="30"/>
        <v>116.7087429</v>
      </c>
      <c r="W29" s="25">
        <f t="shared" si="31"/>
        <v>42.9397483</v>
      </c>
      <c r="X29" s="25">
        <f t="shared" si="32"/>
        <v>5.835437144</v>
      </c>
      <c r="Y29" s="25">
        <f t="shared" si="33"/>
        <v>48.77518545</v>
      </c>
    </row>
    <row r="30">
      <c r="A30" s="75"/>
      <c r="B30" s="46" t="s">
        <v>125</v>
      </c>
      <c r="C30" s="24">
        <v>31.0</v>
      </c>
      <c r="D30" s="22">
        <v>10.5833</v>
      </c>
      <c r="E30" s="23">
        <f t="shared" si="19"/>
        <v>0.4409708333</v>
      </c>
      <c r="F30" s="22">
        <f t="shared" si="20"/>
        <v>13.4167</v>
      </c>
      <c r="G30" s="23">
        <f t="shared" si="21"/>
        <v>0.5590291667</v>
      </c>
      <c r="H30" s="59">
        <v>0.06840443866</v>
      </c>
      <c r="I30" s="60">
        <f t="shared" si="22"/>
        <v>4424.05707</v>
      </c>
      <c r="J30" s="61">
        <f t="shared" si="23"/>
        <v>13.48459539</v>
      </c>
      <c r="K30" s="25">
        <v>5946.0</v>
      </c>
      <c r="L30" s="62">
        <f t="shared" si="24"/>
        <v>7.991935484</v>
      </c>
      <c r="M30" s="63">
        <f t="shared" si="25"/>
        <v>1</v>
      </c>
      <c r="N30" s="63">
        <f t="shared" si="26"/>
        <v>0.5590291667</v>
      </c>
      <c r="O30" s="25">
        <f t="shared" si="27"/>
        <v>1521.94293</v>
      </c>
      <c r="P30" s="25">
        <f t="shared" si="28"/>
        <v>3323.987425</v>
      </c>
      <c r="Q30" s="64">
        <f>C30*'Rate Codes'!$D$7</f>
        <v>53.490035</v>
      </c>
      <c r="R30" s="25">
        <f>P30*'Rate Codes'!$D$8</f>
        <v>43.05560912</v>
      </c>
      <c r="S30" s="25">
        <f t="shared" si="29"/>
        <v>96.54564412</v>
      </c>
      <c r="T30" s="66">
        <f>P30*'Rate Codes'!$D$8</f>
        <v>43.05560912</v>
      </c>
      <c r="U30" s="67">
        <f>(O30)*'Billing Rate'!$B$1</f>
        <v>103.4921192</v>
      </c>
      <c r="V30" s="25">
        <f t="shared" si="30"/>
        <v>139.6012532</v>
      </c>
      <c r="W30" s="25">
        <f t="shared" si="31"/>
        <v>243.0933724</v>
      </c>
      <c r="X30" s="25">
        <f t="shared" si="32"/>
        <v>12.15466862</v>
      </c>
      <c r="Y30" s="25">
        <f t="shared" si="33"/>
        <v>255.2480411</v>
      </c>
    </row>
    <row r="31">
      <c r="A31" s="75"/>
      <c r="B31" s="46" t="s">
        <v>126</v>
      </c>
      <c r="C31" s="24">
        <v>30.0</v>
      </c>
      <c r="D31" s="22">
        <v>8.85</v>
      </c>
      <c r="E31" s="23">
        <f t="shared" si="19"/>
        <v>0.36875</v>
      </c>
      <c r="F31" s="22">
        <f t="shared" si="20"/>
        <v>15.15</v>
      </c>
      <c r="G31" s="23">
        <f t="shared" si="21"/>
        <v>0.63125</v>
      </c>
      <c r="H31" s="59">
        <v>0.0271408052</v>
      </c>
      <c r="I31" s="60">
        <f t="shared" si="22"/>
        <v>1755.331576</v>
      </c>
      <c r="J31" s="61">
        <f t="shared" si="23"/>
        <v>6.611418367</v>
      </c>
      <c r="K31" s="25">
        <v>5587.0</v>
      </c>
      <c r="L31" s="62">
        <f t="shared" si="24"/>
        <v>7.759722222</v>
      </c>
      <c r="M31" s="63">
        <f t="shared" si="25"/>
        <v>0.8520174018</v>
      </c>
      <c r="N31" s="63">
        <f t="shared" si="26"/>
        <v>0.6858185831</v>
      </c>
      <c r="O31" s="25">
        <f t="shared" si="27"/>
        <v>3831.668424</v>
      </c>
      <c r="P31" s="25">
        <f t="shared" si="28"/>
        <v>3831.668424</v>
      </c>
      <c r="Q31" s="64">
        <f>C31*'Rate Codes'!$D$7</f>
        <v>51.76455</v>
      </c>
      <c r="R31" s="25">
        <f>P31*'Rate Codes'!$D$8</f>
        <v>49.63160109</v>
      </c>
      <c r="S31" s="25">
        <f t="shared" si="29"/>
        <v>101.3961511</v>
      </c>
      <c r="T31" s="66">
        <f>P31*'Rate Codes'!$D$8</f>
        <v>49.63160109</v>
      </c>
      <c r="U31" s="67">
        <f>(O31)*'Billing Rate'!$B$1</f>
        <v>260.5534528</v>
      </c>
      <c r="V31" s="25">
        <f t="shared" si="30"/>
        <v>151.0277522</v>
      </c>
      <c r="W31" s="25">
        <f t="shared" si="31"/>
        <v>411.581205</v>
      </c>
      <c r="X31" s="25">
        <f t="shared" si="32"/>
        <v>20.57906025</v>
      </c>
      <c r="Y31" s="25">
        <f t="shared" si="33"/>
        <v>432.1602652</v>
      </c>
    </row>
    <row r="32">
      <c r="A32" s="75"/>
      <c r="B32" s="46" t="s">
        <v>127</v>
      </c>
      <c r="C32" s="24">
        <v>31.0</v>
      </c>
      <c r="D32" s="22">
        <v>7.9667</v>
      </c>
      <c r="E32" s="23">
        <f t="shared" si="19"/>
        <v>0.3319458333</v>
      </c>
      <c r="F32" s="22">
        <f t="shared" si="20"/>
        <v>16.0333</v>
      </c>
      <c r="G32" s="23">
        <f t="shared" si="21"/>
        <v>0.6680541667</v>
      </c>
      <c r="H32" s="59">
        <v>0.01559005293</v>
      </c>
      <c r="I32" s="60">
        <f t="shared" si="22"/>
        <v>1008.286673</v>
      </c>
      <c r="J32" s="61">
        <f t="shared" si="23"/>
        <v>4.082666167</v>
      </c>
      <c r="K32" s="25">
        <v>5490.0</v>
      </c>
      <c r="L32" s="62">
        <f t="shared" si="24"/>
        <v>7.379032258</v>
      </c>
      <c r="M32" s="63">
        <f t="shared" si="25"/>
        <v>0.5532793495</v>
      </c>
      <c r="N32" s="63">
        <f t="shared" si="26"/>
        <v>0.8163412253</v>
      </c>
      <c r="O32" s="25">
        <f t="shared" si="27"/>
        <v>4481.713327</v>
      </c>
      <c r="P32" s="25">
        <f t="shared" si="28"/>
        <v>4481.713327</v>
      </c>
      <c r="Q32" s="64">
        <f>C32*'Rate Codes'!$D$7</f>
        <v>53.490035</v>
      </c>
      <c r="R32" s="25">
        <f>P32*'Rate Codes'!$D$8</f>
        <v>58.05163272</v>
      </c>
      <c r="S32" s="25">
        <f t="shared" si="29"/>
        <v>111.5416677</v>
      </c>
      <c r="T32" s="66">
        <f>P32*'Rate Codes'!$D$8</f>
        <v>58.05163272</v>
      </c>
      <c r="U32" s="67">
        <f>(O32)*'Billing Rate'!$B$1</f>
        <v>304.7565062</v>
      </c>
      <c r="V32" s="25">
        <f t="shared" si="30"/>
        <v>169.5933004</v>
      </c>
      <c r="W32" s="25">
        <f t="shared" si="31"/>
        <v>474.3498067</v>
      </c>
      <c r="X32" s="25">
        <f t="shared" si="32"/>
        <v>23.71749033</v>
      </c>
      <c r="Y32" s="25">
        <f t="shared" si="33"/>
        <v>498.067297</v>
      </c>
    </row>
    <row r="33">
      <c r="A33" s="41"/>
      <c r="B33" s="44" t="s">
        <v>109</v>
      </c>
      <c r="C33" s="44"/>
      <c r="D33" s="44"/>
      <c r="E33" s="44"/>
      <c r="F33" s="44"/>
      <c r="G33" s="44"/>
      <c r="H33" s="68">
        <f t="shared" ref="H33:I33" si="34">SUM(H21:H32)</f>
        <v>1</v>
      </c>
      <c r="I33" s="69">
        <f t="shared" si="34"/>
        <v>64675</v>
      </c>
      <c r="J33" s="44"/>
      <c r="K33" s="48">
        <f>SUM(K21:K32)</f>
        <v>66307</v>
      </c>
      <c r="L33" s="20"/>
      <c r="M33" s="20"/>
      <c r="N33" s="20"/>
      <c r="O33" s="48">
        <f t="shared" ref="O33:U33" si="35">SUM(O21:O32)</f>
        <v>1631.999999</v>
      </c>
      <c r="P33" s="48">
        <f t="shared" si="35"/>
        <v>33894.86782</v>
      </c>
      <c r="Q33" s="48">
        <f t="shared" si="35"/>
        <v>629.802025</v>
      </c>
      <c r="R33" s="48">
        <f t="shared" si="35"/>
        <v>439.0402228</v>
      </c>
      <c r="S33" s="48">
        <f t="shared" si="35"/>
        <v>1068.842248</v>
      </c>
      <c r="T33" s="48">
        <f t="shared" si="35"/>
        <v>439.0402228</v>
      </c>
      <c r="U33" s="48">
        <f t="shared" si="35"/>
        <v>110.976</v>
      </c>
      <c r="V33" s="48">
        <f t="shared" si="30"/>
        <v>1507.882471</v>
      </c>
      <c r="W33" s="48">
        <f t="shared" ref="W33:Y33" si="36">SUM(W21:W32)</f>
        <v>1618.858471</v>
      </c>
      <c r="X33" s="48">
        <f t="shared" si="36"/>
        <v>130.0844841</v>
      </c>
      <c r="Y33" s="48">
        <f t="shared" si="36"/>
        <v>1748.942955</v>
      </c>
    </row>
    <row r="35">
      <c r="A35" s="1">
        <v>2.0</v>
      </c>
      <c r="B35" s="1" t="s">
        <v>128</v>
      </c>
      <c r="C35" s="1"/>
      <c r="D35" s="1"/>
      <c r="E35" s="1"/>
      <c r="F35" s="1"/>
      <c r="G35" s="1"/>
      <c r="H35" s="1">
        <f>$H$1* POWER((1 -$O$1),A35)</f>
        <v>64351.625</v>
      </c>
      <c r="I35" s="1" t="s">
        <v>132</v>
      </c>
      <c r="J35" s="1"/>
      <c r="K35" s="8">
        <f>H35/K49</f>
        <v>0.9705102779</v>
      </c>
      <c r="L35" s="8"/>
      <c r="M35" s="8"/>
      <c r="N35" s="8"/>
      <c r="O35" s="1" t="s">
        <v>133</v>
      </c>
      <c r="P35" s="6">
        <f>1-K35</f>
        <v>0.02948972205</v>
      </c>
      <c r="Q35" s="1" t="s">
        <v>74</v>
      </c>
      <c r="T35" s="1" t="s">
        <v>78</v>
      </c>
    </row>
    <row r="36">
      <c r="B36" s="44" t="s">
        <v>83</v>
      </c>
      <c r="C36" s="20" t="s">
        <v>88</v>
      </c>
      <c r="D36" s="20" t="s">
        <v>84</v>
      </c>
      <c r="E36" s="20" t="s">
        <v>85</v>
      </c>
      <c r="F36" s="20" t="s">
        <v>86</v>
      </c>
      <c r="G36" s="20" t="s">
        <v>87</v>
      </c>
      <c r="H36" s="20" t="s">
        <v>134</v>
      </c>
      <c r="I36" s="44" t="s">
        <v>135</v>
      </c>
      <c r="J36" s="53" t="s">
        <v>92</v>
      </c>
      <c r="K36" s="20" t="s">
        <v>89</v>
      </c>
      <c r="L36" s="53" t="s">
        <v>90</v>
      </c>
      <c r="M36" s="53" t="s">
        <v>136</v>
      </c>
      <c r="N36" s="53" t="s">
        <v>137</v>
      </c>
      <c r="O36" s="20" t="s">
        <v>138</v>
      </c>
      <c r="P36" s="20" t="s">
        <v>139</v>
      </c>
      <c r="Q36" s="20" t="s">
        <v>76</v>
      </c>
      <c r="R36" s="20" t="s">
        <v>82</v>
      </c>
      <c r="S36" s="20" t="s">
        <v>109</v>
      </c>
      <c r="T36" s="20" t="s">
        <v>80</v>
      </c>
      <c r="U36" s="20" t="s">
        <v>67</v>
      </c>
      <c r="V36" s="45" t="s">
        <v>114</v>
      </c>
      <c r="W36" s="45" t="s">
        <v>115</v>
      </c>
      <c r="X36" s="45" t="s">
        <v>60</v>
      </c>
      <c r="Y36" s="45" t="s">
        <v>109</v>
      </c>
    </row>
    <row r="37">
      <c r="B37" s="46" t="s">
        <v>117</v>
      </c>
      <c r="C37" s="24">
        <v>31.0</v>
      </c>
      <c r="D37" s="22">
        <v>8.45</v>
      </c>
      <c r="E37" s="23">
        <f t="shared" ref="E37:E48" si="37">D37/24</f>
        <v>0.3520833333</v>
      </c>
      <c r="F37" s="22">
        <f t="shared" ref="F37:F48" si="38">24-D37</f>
        <v>15.55</v>
      </c>
      <c r="G37" s="23">
        <f t="shared" ref="G37:G48" si="39">F37/24</f>
        <v>0.6479166667</v>
      </c>
      <c r="H37" s="59">
        <v>0.02731296772</v>
      </c>
      <c r="I37" s="60">
        <f t="shared" ref="I37:I48" si="40">H$35*H37</f>
        <v>1757.633856</v>
      </c>
      <c r="J37" s="61">
        <f t="shared" ref="J37:J48" si="41">I37/C37/D37</f>
        <v>6.709806667</v>
      </c>
      <c r="K37" s="25">
        <v>5726.0</v>
      </c>
      <c r="L37" s="62">
        <f t="shared" ref="L37:L48" si="42">K37/C37/24</f>
        <v>7.696236559</v>
      </c>
      <c r="M37" s="63">
        <f t="shared" ref="M37:M48" si="43">IF((J37/L37)&gt;1,1,J37/L37)</f>
        <v>0.8718295774</v>
      </c>
      <c r="N37" s="63">
        <f t="shared" ref="N37:N48" si="44">1-E37*M37</f>
        <v>0.6930433363</v>
      </c>
      <c r="O37" s="25">
        <f t="shared" ref="O37:O48" si="45">K37-I37</f>
        <v>3968.366144</v>
      </c>
      <c r="P37" s="25">
        <f t="shared" ref="P37:P48" si="46">K37*N37</f>
        <v>3968.366144</v>
      </c>
      <c r="Q37" s="64">
        <f>C37*'Rate Codes'!$D$7</f>
        <v>53.490035</v>
      </c>
      <c r="R37" s="25">
        <f>P37*'Rate Codes'!$D$8</f>
        <v>51.40224666</v>
      </c>
      <c r="S37" s="25">
        <f t="shared" ref="S37:S48" si="47">SUM(Q37:R37)</f>
        <v>104.8922817</v>
      </c>
      <c r="T37" s="66">
        <f>P37*'Rate Codes'!$D$8</f>
        <v>51.40224666</v>
      </c>
      <c r="U37" s="67">
        <f>(O37)*'Billing Rate'!$B$1</f>
        <v>269.8488978</v>
      </c>
      <c r="V37" s="25">
        <f t="shared" ref="V37:V49" si="48">S37+T37</f>
        <v>156.2945283</v>
      </c>
      <c r="W37" s="25">
        <f t="shared" ref="W37:W48" si="49">U37+S37+T37</f>
        <v>426.1434261</v>
      </c>
      <c r="X37" s="25">
        <f t="shared" ref="X37:X48" si="50">(IF(U37&gt;0,U37,0)+V37)*0.05</f>
        <v>21.3071713</v>
      </c>
      <c r="Y37" s="25">
        <f t="shared" ref="Y37:Y48" si="51">W37+X37</f>
        <v>447.4505974</v>
      </c>
    </row>
    <row r="38">
      <c r="B38" s="46" t="s">
        <v>118</v>
      </c>
      <c r="C38" s="24">
        <v>28.0</v>
      </c>
      <c r="D38" s="22">
        <v>9.9167</v>
      </c>
      <c r="E38" s="23">
        <f t="shared" si="37"/>
        <v>0.4131958333</v>
      </c>
      <c r="F38" s="22">
        <f t="shared" si="38"/>
        <v>14.0833</v>
      </c>
      <c r="G38" s="23">
        <f t="shared" si="39"/>
        <v>0.5868041667</v>
      </c>
      <c r="H38" s="59">
        <v>0.04620731865</v>
      </c>
      <c r="I38" s="60">
        <f t="shared" si="40"/>
        <v>2973.516042</v>
      </c>
      <c r="J38" s="61">
        <f t="shared" si="41"/>
        <v>10.70890533</v>
      </c>
      <c r="K38" s="25">
        <v>5279.0</v>
      </c>
      <c r="L38" s="62">
        <f t="shared" si="42"/>
        <v>7.855654762</v>
      </c>
      <c r="M38" s="63">
        <f t="shared" si="43"/>
        <v>1</v>
      </c>
      <c r="N38" s="63">
        <f t="shared" si="44"/>
        <v>0.5868041667</v>
      </c>
      <c r="O38" s="25">
        <f t="shared" si="45"/>
        <v>2305.483958</v>
      </c>
      <c r="P38" s="25">
        <f t="shared" si="46"/>
        <v>3097.739196</v>
      </c>
      <c r="Q38" s="64">
        <f>C38*'Rate Codes'!$D$7</f>
        <v>48.31358</v>
      </c>
      <c r="R38" s="25">
        <f>P38*'Rate Codes'!$D$8</f>
        <v>40.1250158</v>
      </c>
      <c r="S38" s="25">
        <f t="shared" si="47"/>
        <v>88.4385958</v>
      </c>
      <c r="T38" s="66">
        <f>P38*'Rate Codes'!$D$8</f>
        <v>40.1250158</v>
      </c>
      <c r="U38" s="67">
        <f>(O38)*'Billing Rate'!$B$1</f>
        <v>156.7729091</v>
      </c>
      <c r="V38" s="25">
        <f t="shared" si="48"/>
        <v>128.5636116</v>
      </c>
      <c r="W38" s="25">
        <f t="shared" si="49"/>
        <v>285.3365207</v>
      </c>
      <c r="X38" s="25">
        <f t="shared" si="50"/>
        <v>14.26682604</v>
      </c>
      <c r="Y38" s="25">
        <f t="shared" si="51"/>
        <v>299.6033468</v>
      </c>
    </row>
    <row r="39">
      <c r="B39" s="46" t="s">
        <v>119</v>
      </c>
      <c r="C39" s="24">
        <v>31.0</v>
      </c>
      <c r="D39" s="22">
        <v>11.8</v>
      </c>
      <c r="E39" s="23">
        <f t="shared" si="37"/>
        <v>0.4916666667</v>
      </c>
      <c r="F39" s="22">
        <f t="shared" si="38"/>
        <v>12.2</v>
      </c>
      <c r="G39" s="23">
        <f t="shared" si="39"/>
        <v>0.5083333333</v>
      </c>
      <c r="H39" s="59">
        <v>0.08500831624</v>
      </c>
      <c r="I39" s="60">
        <f t="shared" si="40"/>
        <v>5470.423289</v>
      </c>
      <c r="J39" s="61">
        <f t="shared" si="41"/>
        <v>14.95468368</v>
      </c>
      <c r="K39" s="25">
        <v>4991.0</v>
      </c>
      <c r="L39" s="62">
        <f t="shared" si="42"/>
        <v>6.708333333</v>
      </c>
      <c r="M39" s="63">
        <f t="shared" si="43"/>
        <v>1</v>
      </c>
      <c r="N39" s="63">
        <f t="shared" si="44"/>
        <v>0.5083333333</v>
      </c>
      <c r="O39" s="25">
        <f t="shared" si="45"/>
        <v>-479.4232886</v>
      </c>
      <c r="P39" s="25">
        <f t="shared" si="46"/>
        <v>2537.091667</v>
      </c>
      <c r="Q39" s="64">
        <f>C39*'Rate Codes'!$D$7</f>
        <v>53.490035</v>
      </c>
      <c r="R39" s="25">
        <f>P39*'Rate Codes'!$D$8</f>
        <v>32.86294836</v>
      </c>
      <c r="S39" s="25">
        <f t="shared" si="47"/>
        <v>86.35298336</v>
      </c>
      <c r="T39" s="66">
        <f>P39*'Rate Codes'!$D$8</f>
        <v>32.86294836</v>
      </c>
      <c r="U39" s="67">
        <f>(O39)*'Billing Rate'!$B$1</f>
        <v>-32.60078362</v>
      </c>
      <c r="V39" s="25">
        <f t="shared" si="48"/>
        <v>119.2159317</v>
      </c>
      <c r="W39" s="25">
        <f t="shared" si="49"/>
        <v>86.61514809</v>
      </c>
      <c r="X39" s="25">
        <f t="shared" si="50"/>
        <v>5.960796586</v>
      </c>
      <c r="Y39" s="25">
        <f t="shared" si="51"/>
        <v>92.57594468</v>
      </c>
    </row>
    <row r="40">
      <c r="B40" s="46" t="s">
        <v>120</v>
      </c>
      <c r="C40" s="24">
        <v>30.0</v>
      </c>
      <c r="D40" s="22">
        <v>13.8</v>
      </c>
      <c r="E40" s="23">
        <f t="shared" si="37"/>
        <v>0.575</v>
      </c>
      <c r="F40" s="22">
        <f t="shared" si="38"/>
        <v>10.2</v>
      </c>
      <c r="G40" s="23">
        <f t="shared" si="39"/>
        <v>0.425</v>
      </c>
      <c r="H40" s="59">
        <v>0.108773175</v>
      </c>
      <c r="I40" s="60">
        <f t="shared" si="40"/>
        <v>6999.730568</v>
      </c>
      <c r="J40" s="61">
        <f t="shared" si="41"/>
        <v>16.90756176</v>
      </c>
      <c r="K40" s="25">
        <v>4952.0</v>
      </c>
      <c r="L40" s="62">
        <f t="shared" si="42"/>
        <v>6.877777778</v>
      </c>
      <c r="M40" s="63">
        <f t="shared" si="43"/>
        <v>1</v>
      </c>
      <c r="N40" s="63">
        <f t="shared" si="44"/>
        <v>0.425</v>
      </c>
      <c r="O40" s="25">
        <f t="shared" si="45"/>
        <v>-2047.730568</v>
      </c>
      <c r="P40" s="25">
        <f t="shared" si="46"/>
        <v>2104.6</v>
      </c>
      <c r="Q40" s="64">
        <f>C40*'Rate Codes'!$D$7</f>
        <v>51.76455</v>
      </c>
      <c r="R40" s="25">
        <f>P40*'Rate Codes'!$D$8</f>
        <v>27.2608838</v>
      </c>
      <c r="S40" s="25">
        <f t="shared" si="47"/>
        <v>79.0254338</v>
      </c>
      <c r="T40" s="66">
        <f>P40*'Rate Codes'!$D$8</f>
        <v>27.2608838</v>
      </c>
      <c r="U40" s="67">
        <f>(O40)*'Billing Rate'!$B$1</f>
        <v>-139.2456786</v>
      </c>
      <c r="V40" s="25">
        <f t="shared" si="48"/>
        <v>106.2863176</v>
      </c>
      <c r="W40" s="25">
        <f t="shared" si="49"/>
        <v>-32.959361</v>
      </c>
      <c r="X40" s="25">
        <f t="shared" si="50"/>
        <v>5.31431588</v>
      </c>
      <c r="Y40" s="25">
        <f t="shared" si="51"/>
        <v>-27.64504512</v>
      </c>
    </row>
    <row r="41">
      <c r="B41" s="46" t="s">
        <v>98</v>
      </c>
      <c r="C41" s="24">
        <v>31.0</v>
      </c>
      <c r="D41" s="22">
        <v>15.5333</v>
      </c>
      <c r="E41" s="23">
        <f t="shared" si="37"/>
        <v>0.6472208333</v>
      </c>
      <c r="F41" s="22">
        <f t="shared" si="38"/>
        <v>8.4667</v>
      </c>
      <c r="G41" s="23">
        <f t="shared" si="39"/>
        <v>0.3527791667</v>
      </c>
      <c r="H41" s="59">
        <v>0.1281742617</v>
      </c>
      <c r="I41" s="60">
        <f t="shared" si="40"/>
        <v>8248.222024</v>
      </c>
      <c r="J41" s="61">
        <f t="shared" si="41"/>
        <v>17.12911475</v>
      </c>
      <c r="K41" s="25">
        <v>5559.0</v>
      </c>
      <c r="L41" s="62">
        <f t="shared" si="42"/>
        <v>7.471774194</v>
      </c>
      <c r="M41" s="63">
        <f t="shared" si="43"/>
        <v>1</v>
      </c>
      <c r="N41" s="63">
        <f t="shared" si="44"/>
        <v>0.3527791667</v>
      </c>
      <c r="O41" s="25">
        <f t="shared" si="45"/>
        <v>-2689.222024</v>
      </c>
      <c r="P41" s="25">
        <f t="shared" si="46"/>
        <v>1961.099388</v>
      </c>
      <c r="Q41" s="64">
        <f>C41*'Rate Codes'!$D$7</f>
        <v>53.490035</v>
      </c>
      <c r="R41" s="25">
        <f>P41*'Rate Codes'!$D$8</f>
        <v>25.40212037</v>
      </c>
      <c r="S41" s="25">
        <f t="shared" si="47"/>
        <v>78.89215537</v>
      </c>
      <c r="T41" s="66">
        <f>P41*'Rate Codes'!$D$8</f>
        <v>25.40212037</v>
      </c>
      <c r="U41" s="67">
        <f>(O41)*'Billing Rate'!$B$1</f>
        <v>-182.8670976</v>
      </c>
      <c r="V41" s="25">
        <f t="shared" si="48"/>
        <v>104.2942757</v>
      </c>
      <c r="W41" s="25">
        <f t="shared" si="49"/>
        <v>-78.57282187</v>
      </c>
      <c r="X41" s="25">
        <f t="shared" si="50"/>
        <v>5.214713787</v>
      </c>
      <c r="Y41" s="25">
        <f t="shared" si="51"/>
        <v>-73.35810808</v>
      </c>
    </row>
    <row r="42">
      <c r="B42" s="46" t="s">
        <v>121</v>
      </c>
      <c r="C42" s="24">
        <v>30.0</v>
      </c>
      <c r="D42" s="22">
        <v>16.4667</v>
      </c>
      <c r="E42" s="23">
        <f t="shared" si="37"/>
        <v>0.6861125</v>
      </c>
      <c r="F42" s="22">
        <f t="shared" si="38"/>
        <v>7.5333</v>
      </c>
      <c r="G42" s="23">
        <f t="shared" si="39"/>
        <v>0.3138875</v>
      </c>
      <c r="H42" s="59">
        <v>0.1254860808</v>
      </c>
      <c r="I42" s="60">
        <f t="shared" si="40"/>
        <v>8075.233214</v>
      </c>
      <c r="J42" s="61">
        <f t="shared" si="41"/>
        <v>16.34659285</v>
      </c>
      <c r="K42" s="25">
        <v>4964.0</v>
      </c>
      <c r="L42" s="62">
        <f t="shared" si="42"/>
        <v>6.894444444</v>
      </c>
      <c r="M42" s="63">
        <f t="shared" si="43"/>
        <v>1</v>
      </c>
      <c r="N42" s="63">
        <f t="shared" si="44"/>
        <v>0.3138875</v>
      </c>
      <c r="O42" s="25">
        <f t="shared" si="45"/>
        <v>-3111.233214</v>
      </c>
      <c r="P42" s="25">
        <f t="shared" si="46"/>
        <v>1558.13755</v>
      </c>
      <c r="Q42" s="64">
        <f>C42*'Rate Codes'!$D$7</f>
        <v>51.76455</v>
      </c>
      <c r="R42" s="25">
        <f>P42*'Rate Codes'!$D$8</f>
        <v>20.18255569</v>
      </c>
      <c r="S42" s="25">
        <f t="shared" si="47"/>
        <v>71.94710569</v>
      </c>
      <c r="T42" s="66">
        <f>P42*'Rate Codes'!$D$8</f>
        <v>20.18255569</v>
      </c>
      <c r="U42" s="67">
        <f>(O42)*'Billing Rate'!$B$1</f>
        <v>-211.5638586</v>
      </c>
      <c r="V42" s="25">
        <f t="shared" si="48"/>
        <v>92.12966137</v>
      </c>
      <c r="W42" s="25">
        <f t="shared" si="49"/>
        <v>-119.4341972</v>
      </c>
      <c r="X42" s="25">
        <f t="shared" si="50"/>
        <v>4.606483069</v>
      </c>
      <c r="Y42" s="25">
        <f t="shared" si="51"/>
        <v>-114.8277141</v>
      </c>
    </row>
    <row r="43">
      <c r="B43" s="46" t="s">
        <v>122</v>
      </c>
      <c r="C43" s="24">
        <v>31.0</v>
      </c>
      <c r="D43" s="22">
        <v>16.05</v>
      </c>
      <c r="E43" s="23">
        <f t="shared" si="37"/>
        <v>0.66875</v>
      </c>
      <c r="F43" s="22">
        <f t="shared" si="38"/>
        <v>7.95</v>
      </c>
      <c r="G43" s="23">
        <f t="shared" si="39"/>
        <v>0.33125</v>
      </c>
      <c r="H43" s="59">
        <v>0.1449493112</v>
      </c>
      <c r="I43" s="60">
        <f t="shared" si="40"/>
        <v>9327.723718</v>
      </c>
      <c r="J43" s="61">
        <f t="shared" si="41"/>
        <v>18.74730925</v>
      </c>
      <c r="K43" s="25">
        <v>6634.0</v>
      </c>
      <c r="L43" s="62">
        <f t="shared" si="42"/>
        <v>8.916666667</v>
      </c>
      <c r="M43" s="63">
        <f t="shared" si="43"/>
        <v>1</v>
      </c>
      <c r="N43" s="63">
        <f t="shared" si="44"/>
        <v>0.33125</v>
      </c>
      <c r="O43" s="25">
        <f t="shared" si="45"/>
        <v>-2693.723718</v>
      </c>
      <c r="P43" s="25">
        <f t="shared" si="46"/>
        <v>2197.5125</v>
      </c>
      <c r="Q43" s="64">
        <f>C43*'Rate Codes'!$D$7</f>
        <v>53.490035</v>
      </c>
      <c r="R43" s="25">
        <f>P43*'Rate Codes'!$D$8</f>
        <v>28.46437941</v>
      </c>
      <c r="S43" s="25">
        <f t="shared" si="47"/>
        <v>81.95441441</v>
      </c>
      <c r="T43" s="66">
        <f>P43*'Rate Codes'!$D$8</f>
        <v>28.46437941</v>
      </c>
      <c r="U43" s="67">
        <f>(O43)*'Billing Rate'!$B$1</f>
        <v>-183.1732128</v>
      </c>
      <c r="V43" s="25">
        <f t="shared" si="48"/>
        <v>110.4187938</v>
      </c>
      <c r="W43" s="25">
        <f t="shared" si="49"/>
        <v>-72.75441902</v>
      </c>
      <c r="X43" s="25">
        <f t="shared" si="50"/>
        <v>5.520939691</v>
      </c>
      <c r="Y43" s="25">
        <f t="shared" si="51"/>
        <v>-67.23347933</v>
      </c>
    </row>
    <row r="44">
      <c r="B44" s="46" t="s">
        <v>123</v>
      </c>
      <c r="C44" s="24">
        <v>31.0</v>
      </c>
      <c r="D44" s="22">
        <v>14.5167</v>
      </c>
      <c r="E44" s="23">
        <f t="shared" si="37"/>
        <v>0.6048625</v>
      </c>
      <c r="F44" s="22">
        <f t="shared" si="38"/>
        <v>9.4833</v>
      </c>
      <c r="G44" s="23">
        <f t="shared" si="39"/>
        <v>0.3951375</v>
      </c>
      <c r="H44" s="59">
        <v>0.1246952409</v>
      </c>
      <c r="I44" s="60">
        <f t="shared" si="40"/>
        <v>8024.341382</v>
      </c>
      <c r="J44" s="61">
        <f t="shared" si="41"/>
        <v>17.83116838</v>
      </c>
      <c r="K44" s="25">
        <v>5909.0</v>
      </c>
      <c r="L44" s="62">
        <f t="shared" si="42"/>
        <v>7.942204301</v>
      </c>
      <c r="M44" s="63">
        <f t="shared" si="43"/>
        <v>1</v>
      </c>
      <c r="N44" s="63">
        <f t="shared" si="44"/>
        <v>0.3951375</v>
      </c>
      <c r="O44" s="25">
        <f t="shared" si="45"/>
        <v>-2115.341382</v>
      </c>
      <c r="P44" s="25">
        <f t="shared" si="46"/>
        <v>2334.867488</v>
      </c>
      <c r="Q44" s="64">
        <f>C44*'Rate Codes'!$D$7</f>
        <v>53.490035</v>
      </c>
      <c r="R44" s="25">
        <f>P44*'Rate Codes'!$D$8</f>
        <v>30.24353857</v>
      </c>
      <c r="S44" s="25">
        <f t="shared" si="47"/>
        <v>83.73357357</v>
      </c>
      <c r="T44" s="66">
        <f>P44*'Rate Codes'!$D$8</f>
        <v>30.24353857</v>
      </c>
      <c r="U44" s="67">
        <f>(O44)*'Billing Rate'!$B$1</f>
        <v>-143.843214</v>
      </c>
      <c r="V44" s="25">
        <f t="shared" si="48"/>
        <v>113.9771121</v>
      </c>
      <c r="W44" s="25">
        <f t="shared" si="49"/>
        <v>-29.86610182</v>
      </c>
      <c r="X44" s="25">
        <f t="shared" si="50"/>
        <v>5.698855607</v>
      </c>
      <c r="Y44" s="25">
        <f t="shared" si="51"/>
        <v>-24.16724622</v>
      </c>
    </row>
    <row r="45">
      <c r="B45" s="46" t="s">
        <v>124</v>
      </c>
      <c r="C45" s="24">
        <v>30.0</v>
      </c>
      <c r="D45" s="22">
        <v>12.5833</v>
      </c>
      <c r="E45" s="23">
        <f t="shared" si="37"/>
        <v>0.5243041667</v>
      </c>
      <c r="F45" s="22">
        <f t="shared" si="38"/>
        <v>11.4167</v>
      </c>
      <c r="G45" s="23">
        <f t="shared" si="39"/>
        <v>0.4756958333</v>
      </c>
      <c r="H45" s="59">
        <v>0.09825803101</v>
      </c>
      <c r="I45" s="60">
        <f t="shared" si="40"/>
        <v>6323.063965</v>
      </c>
      <c r="J45" s="61">
        <f t="shared" si="41"/>
        <v>16.74988269</v>
      </c>
      <c r="K45" s="25">
        <v>5270.0</v>
      </c>
      <c r="L45" s="62">
        <f t="shared" si="42"/>
        <v>7.319444444</v>
      </c>
      <c r="M45" s="63">
        <f t="shared" si="43"/>
        <v>1</v>
      </c>
      <c r="N45" s="63">
        <f t="shared" si="44"/>
        <v>0.4756958333</v>
      </c>
      <c r="O45" s="25">
        <f t="shared" si="45"/>
        <v>-1053.063965</v>
      </c>
      <c r="P45" s="25">
        <f t="shared" si="46"/>
        <v>2506.917042</v>
      </c>
      <c r="Q45" s="64">
        <f>C45*'Rate Codes'!$D$7</f>
        <v>51.76455</v>
      </c>
      <c r="R45" s="25">
        <f>P45*'Rate Codes'!$D$8</f>
        <v>32.47209644</v>
      </c>
      <c r="S45" s="25">
        <f t="shared" si="47"/>
        <v>84.23664644</v>
      </c>
      <c r="T45" s="66">
        <f>P45*'Rate Codes'!$D$8</f>
        <v>32.47209644</v>
      </c>
      <c r="U45" s="67">
        <f>(O45)*'Billing Rate'!$B$1</f>
        <v>-71.60834961</v>
      </c>
      <c r="V45" s="25">
        <f t="shared" si="48"/>
        <v>116.7087429</v>
      </c>
      <c r="W45" s="25">
        <f t="shared" si="49"/>
        <v>45.10039328</v>
      </c>
      <c r="X45" s="25">
        <f t="shared" si="50"/>
        <v>5.835437144</v>
      </c>
      <c r="Y45" s="25">
        <f t="shared" si="51"/>
        <v>50.93583042</v>
      </c>
    </row>
    <row r="46">
      <c r="B46" s="46" t="s">
        <v>125</v>
      </c>
      <c r="C46" s="24">
        <v>31.0</v>
      </c>
      <c r="D46" s="22">
        <v>10.5833</v>
      </c>
      <c r="E46" s="23">
        <f t="shared" si="37"/>
        <v>0.4409708333</v>
      </c>
      <c r="F46" s="22">
        <f t="shared" si="38"/>
        <v>13.4167</v>
      </c>
      <c r="G46" s="23">
        <f t="shared" si="39"/>
        <v>0.5590291667</v>
      </c>
      <c r="H46" s="59">
        <v>0.06840443866</v>
      </c>
      <c r="I46" s="60">
        <f t="shared" si="40"/>
        <v>4401.936785</v>
      </c>
      <c r="J46" s="61">
        <f t="shared" si="41"/>
        <v>13.41717241</v>
      </c>
      <c r="K46" s="25">
        <v>5946.0</v>
      </c>
      <c r="L46" s="62">
        <f t="shared" si="42"/>
        <v>7.991935484</v>
      </c>
      <c r="M46" s="63">
        <f t="shared" si="43"/>
        <v>1</v>
      </c>
      <c r="N46" s="63">
        <f t="shared" si="44"/>
        <v>0.5590291667</v>
      </c>
      <c r="O46" s="25">
        <f t="shared" si="45"/>
        <v>1544.063215</v>
      </c>
      <c r="P46" s="25">
        <f t="shared" si="46"/>
        <v>3323.987425</v>
      </c>
      <c r="Q46" s="64">
        <f>C46*'Rate Codes'!$D$7</f>
        <v>53.490035</v>
      </c>
      <c r="R46" s="25">
        <f>P46*'Rate Codes'!$D$8</f>
        <v>43.05560912</v>
      </c>
      <c r="S46" s="25">
        <f t="shared" si="47"/>
        <v>96.54564412</v>
      </c>
      <c r="T46" s="66">
        <f>P46*'Rate Codes'!$D$8</f>
        <v>43.05560912</v>
      </c>
      <c r="U46" s="67">
        <f>(O46)*'Billing Rate'!$B$1</f>
        <v>104.9962986</v>
      </c>
      <c r="V46" s="25">
        <f t="shared" si="48"/>
        <v>139.6012532</v>
      </c>
      <c r="W46" s="25">
        <f t="shared" si="49"/>
        <v>244.5975519</v>
      </c>
      <c r="X46" s="25">
        <f t="shared" si="50"/>
        <v>12.22987759</v>
      </c>
      <c r="Y46" s="25">
        <f t="shared" si="51"/>
        <v>256.8274294</v>
      </c>
    </row>
    <row r="47">
      <c r="B47" s="46" t="s">
        <v>126</v>
      </c>
      <c r="C47" s="24">
        <v>30.0</v>
      </c>
      <c r="D47" s="22">
        <v>8.85</v>
      </c>
      <c r="E47" s="23">
        <f t="shared" si="37"/>
        <v>0.36875</v>
      </c>
      <c r="F47" s="22">
        <f t="shared" si="38"/>
        <v>15.15</v>
      </c>
      <c r="G47" s="23">
        <f t="shared" si="39"/>
        <v>0.63125</v>
      </c>
      <c r="H47" s="59">
        <v>0.0271408052</v>
      </c>
      <c r="I47" s="60">
        <f t="shared" si="40"/>
        <v>1746.554918</v>
      </c>
      <c r="J47" s="61">
        <f t="shared" si="41"/>
        <v>6.578361275</v>
      </c>
      <c r="K47" s="25">
        <v>5587.0</v>
      </c>
      <c r="L47" s="62">
        <f t="shared" si="42"/>
        <v>7.759722222</v>
      </c>
      <c r="M47" s="63">
        <f t="shared" si="43"/>
        <v>0.8477573148</v>
      </c>
      <c r="N47" s="63">
        <f t="shared" si="44"/>
        <v>0.6873894902</v>
      </c>
      <c r="O47" s="25">
        <f t="shared" si="45"/>
        <v>3840.445082</v>
      </c>
      <c r="P47" s="25">
        <f t="shared" si="46"/>
        <v>3840.445082</v>
      </c>
      <c r="Q47" s="64">
        <f>C47*'Rate Codes'!$D$7</f>
        <v>51.76455</v>
      </c>
      <c r="R47" s="25">
        <f>P47*'Rate Codes'!$D$8</f>
        <v>49.74528514</v>
      </c>
      <c r="S47" s="25">
        <f t="shared" si="47"/>
        <v>101.5098351</v>
      </c>
      <c r="T47" s="66">
        <f>P47*'Rate Codes'!$D$8</f>
        <v>49.74528514</v>
      </c>
      <c r="U47" s="67">
        <f>(O47)*'Billing Rate'!$B$1</f>
        <v>261.1502655</v>
      </c>
      <c r="V47" s="25">
        <f t="shared" si="48"/>
        <v>151.2551203</v>
      </c>
      <c r="W47" s="25">
        <f t="shared" si="49"/>
        <v>412.4053858</v>
      </c>
      <c r="X47" s="25">
        <f t="shared" si="50"/>
        <v>20.62026929</v>
      </c>
      <c r="Y47" s="25">
        <f t="shared" si="51"/>
        <v>433.0256551</v>
      </c>
    </row>
    <row r="48">
      <c r="B48" s="46" t="s">
        <v>127</v>
      </c>
      <c r="C48" s="24">
        <v>31.0</v>
      </c>
      <c r="D48" s="22">
        <v>7.9667</v>
      </c>
      <c r="E48" s="23">
        <f t="shared" si="37"/>
        <v>0.3319458333</v>
      </c>
      <c r="F48" s="22">
        <f t="shared" si="38"/>
        <v>16.0333</v>
      </c>
      <c r="G48" s="23">
        <f t="shared" si="39"/>
        <v>0.6680541667</v>
      </c>
      <c r="H48" s="59">
        <v>0.01559005293</v>
      </c>
      <c r="I48" s="60">
        <f t="shared" si="40"/>
        <v>1003.24524</v>
      </c>
      <c r="J48" s="61">
        <f t="shared" si="41"/>
        <v>4.062252837</v>
      </c>
      <c r="K48" s="25">
        <v>5490.0</v>
      </c>
      <c r="L48" s="62">
        <f t="shared" si="42"/>
        <v>7.379032258</v>
      </c>
      <c r="M48" s="63">
        <f t="shared" si="43"/>
        <v>0.5505129527</v>
      </c>
      <c r="N48" s="63">
        <f t="shared" si="44"/>
        <v>0.8172595191</v>
      </c>
      <c r="O48" s="25">
        <f t="shared" si="45"/>
        <v>4486.75476</v>
      </c>
      <c r="P48" s="25">
        <f t="shared" si="46"/>
        <v>4486.75476</v>
      </c>
      <c r="Q48" s="64">
        <f>C48*'Rate Codes'!$D$7</f>
        <v>53.490035</v>
      </c>
      <c r="R48" s="25">
        <f>P48*'Rate Codes'!$D$8</f>
        <v>58.11693441</v>
      </c>
      <c r="S48" s="25">
        <f t="shared" si="47"/>
        <v>111.6069694</v>
      </c>
      <c r="T48" s="66">
        <f>P48*'Rate Codes'!$D$8</f>
        <v>58.11693441</v>
      </c>
      <c r="U48" s="67">
        <f>(O48)*'Billing Rate'!$B$1</f>
        <v>305.0993237</v>
      </c>
      <c r="V48" s="25">
        <f t="shared" si="48"/>
        <v>169.7239038</v>
      </c>
      <c r="W48" s="25">
        <f t="shared" si="49"/>
        <v>474.8232275</v>
      </c>
      <c r="X48" s="25">
        <f t="shared" si="50"/>
        <v>23.74116138</v>
      </c>
      <c r="Y48" s="25">
        <f t="shared" si="51"/>
        <v>498.5643889</v>
      </c>
    </row>
    <row r="49">
      <c r="B49" s="44" t="s">
        <v>109</v>
      </c>
      <c r="C49" s="44"/>
      <c r="D49" s="44"/>
      <c r="E49" s="44"/>
      <c r="F49" s="44"/>
      <c r="G49" s="44"/>
      <c r="H49" s="68">
        <f t="shared" ref="H49:I49" si="52">SUM(H37:H48)</f>
        <v>1</v>
      </c>
      <c r="I49" s="69">
        <f t="shared" si="52"/>
        <v>64351.625</v>
      </c>
      <c r="J49" s="44"/>
      <c r="K49" s="48">
        <f>SUM(K37:K48)</f>
        <v>66307</v>
      </c>
      <c r="L49" s="20"/>
      <c r="M49" s="20"/>
      <c r="N49" s="20"/>
      <c r="O49" s="48">
        <f t="shared" ref="O49:U49" si="53">SUM(O37:O48)</f>
        <v>1955.374999</v>
      </c>
      <c r="P49" s="48">
        <f t="shared" si="53"/>
        <v>33917.51824</v>
      </c>
      <c r="Q49" s="48">
        <f t="shared" si="53"/>
        <v>629.802025</v>
      </c>
      <c r="R49" s="48">
        <f t="shared" si="53"/>
        <v>439.3336138</v>
      </c>
      <c r="S49" s="48">
        <f t="shared" si="53"/>
        <v>1069.135639</v>
      </c>
      <c r="T49" s="48">
        <f t="shared" si="53"/>
        <v>439.3336138</v>
      </c>
      <c r="U49" s="48">
        <f t="shared" si="53"/>
        <v>132.9655</v>
      </c>
      <c r="V49" s="48">
        <f t="shared" si="48"/>
        <v>1508.469253</v>
      </c>
      <c r="W49" s="48">
        <f t="shared" ref="W49:Y49" si="54">SUM(W37:W48)</f>
        <v>1641.434752</v>
      </c>
      <c r="X49" s="48">
        <f t="shared" si="54"/>
        <v>130.3168474</v>
      </c>
      <c r="Y49" s="48">
        <f t="shared" si="54"/>
        <v>1771.7516</v>
      </c>
    </row>
    <row r="51">
      <c r="A51" s="1">
        <v>3.0</v>
      </c>
      <c r="B51" s="1" t="s">
        <v>128</v>
      </c>
      <c r="C51" s="1"/>
      <c r="D51" s="1"/>
      <c r="E51" s="1"/>
      <c r="F51" s="1"/>
      <c r="G51" s="1"/>
      <c r="H51" s="1">
        <f>$H$1* POWER((1 -$O$1),A51)</f>
        <v>64029.86688</v>
      </c>
      <c r="I51" s="1" t="s">
        <v>132</v>
      </c>
      <c r="J51" s="1"/>
      <c r="K51" s="8">
        <f>H51/K65</f>
        <v>0.9656577266</v>
      </c>
      <c r="L51" s="8"/>
      <c r="M51" s="8"/>
      <c r="N51" s="8"/>
      <c r="O51" s="1" t="s">
        <v>133</v>
      </c>
      <c r="P51" s="6">
        <f>1-K51</f>
        <v>0.03434227344</v>
      </c>
      <c r="Q51" s="1" t="s">
        <v>74</v>
      </c>
      <c r="T51" s="1" t="s">
        <v>78</v>
      </c>
    </row>
    <row r="52">
      <c r="B52" s="44" t="s">
        <v>83</v>
      </c>
      <c r="C52" s="20" t="s">
        <v>88</v>
      </c>
      <c r="D52" s="20" t="s">
        <v>84</v>
      </c>
      <c r="E52" s="20" t="s">
        <v>85</v>
      </c>
      <c r="F52" s="20" t="s">
        <v>86</v>
      </c>
      <c r="G52" s="20" t="s">
        <v>87</v>
      </c>
      <c r="H52" s="20" t="s">
        <v>134</v>
      </c>
      <c r="I52" s="44" t="s">
        <v>135</v>
      </c>
      <c r="J52" s="53" t="s">
        <v>92</v>
      </c>
      <c r="K52" s="20" t="s">
        <v>89</v>
      </c>
      <c r="L52" s="53" t="s">
        <v>90</v>
      </c>
      <c r="M52" s="53" t="s">
        <v>136</v>
      </c>
      <c r="N52" s="53" t="s">
        <v>137</v>
      </c>
      <c r="O52" s="20" t="s">
        <v>138</v>
      </c>
      <c r="P52" s="20" t="s">
        <v>139</v>
      </c>
      <c r="Q52" s="20" t="s">
        <v>76</v>
      </c>
      <c r="R52" s="20" t="s">
        <v>82</v>
      </c>
      <c r="S52" s="20" t="s">
        <v>109</v>
      </c>
      <c r="T52" s="20" t="s">
        <v>80</v>
      </c>
      <c r="U52" s="20" t="s">
        <v>67</v>
      </c>
      <c r="V52" s="45" t="s">
        <v>114</v>
      </c>
      <c r="W52" s="45" t="s">
        <v>115</v>
      </c>
      <c r="X52" s="45" t="s">
        <v>60</v>
      </c>
      <c r="Y52" s="45" t="s">
        <v>109</v>
      </c>
    </row>
    <row r="53">
      <c r="B53" s="46" t="s">
        <v>117</v>
      </c>
      <c r="C53" s="24">
        <v>31.0</v>
      </c>
      <c r="D53" s="22">
        <v>8.45</v>
      </c>
      <c r="E53" s="23">
        <f t="shared" ref="E53:E64" si="55">D53/24</f>
        <v>0.3520833333</v>
      </c>
      <c r="F53" s="22">
        <f t="shared" ref="F53:F64" si="56">24-D53</f>
        <v>15.55</v>
      </c>
      <c r="G53" s="23">
        <f t="shared" ref="G53:G64" si="57">F53/24</f>
        <v>0.6479166667</v>
      </c>
      <c r="H53" s="59">
        <v>0.02731296772</v>
      </c>
      <c r="I53" s="60">
        <f t="shared" ref="I53:I64" si="58">H$51*H53</f>
        <v>1748.845687</v>
      </c>
      <c r="J53" s="61">
        <f t="shared" ref="J53:J64" si="59">I53/C53/D53</f>
        <v>6.676257633</v>
      </c>
      <c r="K53" s="25">
        <v>5726.0</v>
      </c>
      <c r="L53" s="62">
        <f t="shared" ref="L53:L64" si="60">K53/C53/24</f>
        <v>7.696236559</v>
      </c>
      <c r="M53" s="63">
        <f t="shared" ref="M53:M64" si="61">IF((J53/L53)&gt;1,1,J53/L53)</f>
        <v>0.8674704295</v>
      </c>
      <c r="N53" s="63">
        <f t="shared" ref="N53:N64" si="62">1-E53*M53</f>
        <v>0.6945781196</v>
      </c>
      <c r="O53" s="25">
        <f t="shared" ref="O53:O64" si="63">K53-I53</f>
        <v>3977.154313</v>
      </c>
      <c r="P53" s="25">
        <f t="shared" ref="P53:P64" si="64">K53*N53</f>
        <v>3977.154313</v>
      </c>
      <c r="Q53" s="64">
        <f>C53*'Rate Codes'!$D$7</f>
        <v>53.490035</v>
      </c>
      <c r="R53" s="25">
        <f>P53*'Rate Codes'!$D$8</f>
        <v>51.51607982</v>
      </c>
      <c r="S53" s="25">
        <f t="shared" ref="S53:S64" si="65">SUM(Q53:R53)</f>
        <v>105.0061148</v>
      </c>
      <c r="T53" s="66">
        <f>P53*'Rate Codes'!$D$8</f>
        <v>51.51607982</v>
      </c>
      <c r="U53" s="67">
        <f>(O53)*'Billing Rate'!$B$1</f>
        <v>270.4464933</v>
      </c>
      <c r="V53" s="25">
        <f t="shared" ref="V53:V65" si="66">S53+T53</f>
        <v>156.5221946</v>
      </c>
      <c r="W53" s="25">
        <f t="shared" ref="W53:W64" si="67">U53+S53+T53</f>
        <v>426.9686879</v>
      </c>
      <c r="X53" s="25">
        <f t="shared" ref="X53:X64" si="68">(IF(U53&gt;0,U53,0)+V53)*0.05</f>
        <v>21.3484344</v>
      </c>
      <c r="Y53" s="25">
        <f t="shared" ref="Y53:Y64" si="69">W53+X53</f>
        <v>448.3171223</v>
      </c>
    </row>
    <row r="54">
      <c r="B54" s="46" t="s">
        <v>118</v>
      </c>
      <c r="C54" s="24">
        <v>28.0</v>
      </c>
      <c r="D54" s="22">
        <v>9.9167</v>
      </c>
      <c r="E54" s="23">
        <f t="shared" si="55"/>
        <v>0.4131958333</v>
      </c>
      <c r="F54" s="22">
        <f t="shared" si="56"/>
        <v>14.0833</v>
      </c>
      <c r="G54" s="23">
        <f t="shared" si="57"/>
        <v>0.5868041667</v>
      </c>
      <c r="H54" s="59">
        <v>0.04620731865</v>
      </c>
      <c r="I54" s="60">
        <f t="shared" si="58"/>
        <v>2958.648462</v>
      </c>
      <c r="J54" s="61">
        <f t="shared" si="59"/>
        <v>10.6553608</v>
      </c>
      <c r="K54" s="25">
        <v>5279.0</v>
      </c>
      <c r="L54" s="62">
        <f t="shared" si="60"/>
        <v>7.855654762</v>
      </c>
      <c r="M54" s="63">
        <f t="shared" si="61"/>
        <v>1</v>
      </c>
      <c r="N54" s="63">
        <f t="shared" si="62"/>
        <v>0.5868041667</v>
      </c>
      <c r="O54" s="25">
        <f t="shared" si="63"/>
        <v>2320.351538</v>
      </c>
      <c r="P54" s="25">
        <f t="shared" si="64"/>
        <v>3097.739196</v>
      </c>
      <c r="Q54" s="64">
        <f>C54*'Rate Codes'!$D$7</f>
        <v>48.31358</v>
      </c>
      <c r="R54" s="25">
        <f>P54*'Rate Codes'!$D$8</f>
        <v>40.1250158</v>
      </c>
      <c r="S54" s="25">
        <f t="shared" si="65"/>
        <v>88.4385958</v>
      </c>
      <c r="T54" s="66">
        <f>P54*'Rate Codes'!$D$8</f>
        <v>40.1250158</v>
      </c>
      <c r="U54" s="67">
        <f>(O54)*'Billing Rate'!$B$1</f>
        <v>157.7839046</v>
      </c>
      <c r="V54" s="25">
        <f t="shared" si="66"/>
        <v>128.5636116</v>
      </c>
      <c r="W54" s="25">
        <f t="shared" si="67"/>
        <v>286.3475162</v>
      </c>
      <c r="X54" s="25">
        <f t="shared" si="68"/>
        <v>14.31737581</v>
      </c>
      <c r="Y54" s="25">
        <f t="shared" si="69"/>
        <v>300.664892</v>
      </c>
    </row>
    <row r="55">
      <c r="B55" s="46" t="s">
        <v>119</v>
      </c>
      <c r="C55" s="24">
        <v>31.0</v>
      </c>
      <c r="D55" s="22">
        <v>11.8</v>
      </c>
      <c r="E55" s="23">
        <f t="shared" si="55"/>
        <v>0.4916666667</v>
      </c>
      <c r="F55" s="22">
        <f t="shared" si="56"/>
        <v>12.2</v>
      </c>
      <c r="G55" s="23">
        <f t="shared" si="57"/>
        <v>0.5083333333</v>
      </c>
      <c r="H55" s="59">
        <v>0.08500831624</v>
      </c>
      <c r="I55" s="60">
        <f t="shared" si="58"/>
        <v>5443.071172</v>
      </c>
      <c r="J55" s="61">
        <f t="shared" si="59"/>
        <v>14.87991026</v>
      </c>
      <c r="K55" s="25">
        <v>4991.0</v>
      </c>
      <c r="L55" s="62">
        <f t="shared" si="60"/>
        <v>6.708333333</v>
      </c>
      <c r="M55" s="63">
        <f t="shared" si="61"/>
        <v>1</v>
      </c>
      <c r="N55" s="63">
        <f t="shared" si="62"/>
        <v>0.5083333333</v>
      </c>
      <c r="O55" s="25">
        <f t="shared" si="63"/>
        <v>-452.0711721</v>
      </c>
      <c r="P55" s="25">
        <f t="shared" si="64"/>
        <v>2537.091667</v>
      </c>
      <c r="Q55" s="64">
        <f>C55*'Rate Codes'!$D$7</f>
        <v>53.490035</v>
      </c>
      <c r="R55" s="25">
        <f>P55*'Rate Codes'!$D$8</f>
        <v>32.86294836</v>
      </c>
      <c r="S55" s="25">
        <f t="shared" si="65"/>
        <v>86.35298336</v>
      </c>
      <c r="T55" s="66">
        <f>P55*'Rate Codes'!$D$8</f>
        <v>32.86294836</v>
      </c>
      <c r="U55" s="67">
        <f>(O55)*'Billing Rate'!$B$1</f>
        <v>-30.7408397</v>
      </c>
      <c r="V55" s="25">
        <f t="shared" si="66"/>
        <v>119.2159317</v>
      </c>
      <c r="W55" s="25">
        <f t="shared" si="67"/>
        <v>88.47509201</v>
      </c>
      <c r="X55" s="25">
        <f t="shared" si="68"/>
        <v>5.960796586</v>
      </c>
      <c r="Y55" s="25">
        <f t="shared" si="69"/>
        <v>94.4358886</v>
      </c>
    </row>
    <row r="56">
      <c r="B56" s="46" t="s">
        <v>120</v>
      </c>
      <c r="C56" s="24">
        <v>30.0</v>
      </c>
      <c r="D56" s="22">
        <v>13.8</v>
      </c>
      <c r="E56" s="23">
        <f t="shared" si="55"/>
        <v>0.575</v>
      </c>
      <c r="F56" s="22">
        <f t="shared" si="56"/>
        <v>10.2</v>
      </c>
      <c r="G56" s="23">
        <f t="shared" si="57"/>
        <v>0.425</v>
      </c>
      <c r="H56" s="59">
        <v>0.108773175</v>
      </c>
      <c r="I56" s="60">
        <f t="shared" si="58"/>
        <v>6964.731915</v>
      </c>
      <c r="J56" s="61">
        <f t="shared" si="59"/>
        <v>16.82302395</v>
      </c>
      <c r="K56" s="25">
        <v>4952.0</v>
      </c>
      <c r="L56" s="62">
        <f t="shared" si="60"/>
        <v>6.877777778</v>
      </c>
      <c r="M56" s="63">
        <f t="shared" si="61"/>
        <v>1</v>
      </c>
      <c r="N56" s="63">
        <f t="shared" si="62"/>
        <v>0.425</v>
      </c>
      <c r="O56" s="25">
        <f t="shared" si="63"/>
        <v>-2012.731915</v>
      </c>
      <c r="P56" s="25">
        <f t="shared" si="64"/>
        <v>2104.6</v>
      </c>
      <c r="Q56" s="64">
        <f>C56*'Rate Codes'!$D$7</f>
        <v>51.76455</v>
      </c>
      <c r="R56" s="25">
        <f>P56*'Rate Codes'!$D$8</f>
        <v>27.2608838</v>
      </c>
      <c r="S56" s="25">
        <f t="shared" si="65"/>
        <v>79.0254338</v>
      </c>
      <c r="T56" s="66">
        <f>P56*'Rate Codes'!$D$8</f>
        <v>27.2608838</v>
      </c>
      <c r="U56" s="67">
        <f>(O56)*'Billing Rate'!$B$1</f>
        <v>-136.8657702</v>
      </c>
      <c r="V56" s="25">
        <f t="shared" si="66"/>
        <v>106.2863176</v>
      </c>
      <c r="W56" s="25">
        <f t="shared" si="67"/>
        <v>-30.57945261</v>
      </c>
      <c r="X56" s="25">
        <f t="shared" si="68"/>
        <v>5.31431588</v>
      </c>
      <c r="Y56" s="25">
        <f t="shared" si="69"/>
        <v>-25.26513673</v>
      </c>
    </row>
    <row r="57">
      <c r="B57" s="46" t="s">
        <v>98</v>
      </c>
      <c r="C57" s="24">
        <v>31.0</v>
      </c>
      <c r="D57" s="22">
        <v>15.5333</v>
      </c>
      <c r="E57" s="23">
        <f t="shared" si="55"/>
        <v>0.6472208333</v>
      </c>
      <c r="F57" s="22">
        <f t="shared" si="56"/>
        <v>8.4667</v>
      </c>
      <c r="G57" s="23">
        <f t="shared" si="57"/>
        <v>0.3527791667</v>
      </c>
      <c r="H57" s="59">
        <v>0.1281742617</v>
      </c>
      <c r="I57" s="60">
        <f t="shared" si="58"/>
        <v>8206.980913</v>
      </c>
      <c r="J57" s="61">
        <f t="shared" si="59"/>
        <v>17.04346918</v>
      </c>
      <c r="K57" s="25">
        <v>5559.0</v>
      </c>
      <c r="L57" s="62">
        <f t="shared" si="60"/>
        <v>7.471774194</v>
      </c>
      <c r="M57" s="63">
        <f t="shared" si="61"/>
        <v>1</v>
      </c>
      <c r="N57" s="63">
        <f t="shared" si="62"/>
        <v>0.3527791667</v>
      </c>
      <c r="O57" s="25">
        <f t="shared" si="63"/>
        <v>-2647.980913</v>
      </c>
      <c r="P57" s="25">
        <f t="shared" si="64"/>
        <v>1961.099388</v>
      </c>
      <c r="Q57" s="64">
        <f>C57*'Rate Codes'!$D$7</f>
        <v>53.490035</v>
      </c>
      <c r="R57" s="25">
        <f>P57*'Rate Codes'!$D$8</f>
        <v>25.40212037</v>
      </c>
      <c r="S57" s="25">
        <f t="shared" si="65"/>
        <v>78.89215537</v>
      </c>
      <c r="T57" s="66">
        <f>P57*'Rate Codes'!$D$8</f>
        <v>25.40212037</v>
      </c>
      <c r="U57" s="67">
        <f>(O57)*'Billing Rate'!$B$1</f>
        <v>-180.0627021</v>
      </c>
      <c r="V57" s="25">
        <f t="shared" si="66"/>
        <v>104.2942757</v>
      </c>
      <c r="W57" s="25">
        <f t="shared" si="67"/>
        <v>-75.76842638</v>
      </c>
      <c r="X57" s="25">
        <f t="shared" si="68"/>
        <v>5.214713787</v>
      </c>
      <c r="Y57" s="25">
        <f t="shared" si="69"/>
        <v>-70.5537126</v>
      </c>
    </row>
    <row r="58">
      <c r="B58" s="46" t="s">
        <v>121</v>
      </c>
      <c r="C58" s="24">
        <v>30.0</v>
      </c>
      <c r="D58" s="22">
        <v>16.4667</v>
      </c>
      <c r="E58" s="23">
        <f t="shared" si="55"/>
        <v>0.6861125</v>
      </c>
      <c r="F58" s="22">
        <f t="shared" si="56"/>
        <v>7.5333</v>
      </c>
      <c r="G58" s="23">
        <f t="shared" si="57"/>
        <v>0.3138875</v>
      </c>
      <c r="H58" s="59">
        <v>0.1254860808</v>
      </c>
      <c r="I58" s="60">
        <f t="shared" si="58"/>
        <v>8034.857048</v>
      </c>
      <c r="J58" s="61">
        <f t="shared" si="59"/>
        <v>16.26485989</v>
      </c>
      <c r="K58" s="25">
        <v>4964.0</v>
      </c>
      <c r="L58" s="62">
        <f t="shared" si="60"/>
        <v>6.894444444</v>
      </c>
      <c r="M58" s="63">
        <f t="shared" si="61"/>
        <v>1</v>
      </c>
      <c r="N58" s="63">
        <f t="shared" si="62"/>
        <v>0.3138875</v>
      </c>
      <c r="O58" s="25">
        <f t="shared" si="63"/>
        <v>-3070.857048</v>
      </c>
      <c r="P58" s="25">
        <f t="shared" si="64"/>
        <v>1558.13755</v>
      </c>
      <c r="Q58" s="64">
        <f>C58*'Rate Codes'!$D$7</f>
        <v>51.76455</v>
      </c>
      <c r="R58" s="25">
        <f>P58*'Rate Codes'!$D$8</f>
        <v>20.18255569</v>
      </c>
      <c r="S58" s="25">
        <f t="shared" si="65"/>
        <v>71.94710569</v>
      </c>
      <c r="T58" s="66">
        <f>P58*'Rate Codes'!$D$8</f>
        <v>20.18255569</v>
      </c>
      <c r="U58" s="67">
        <f>(O58)*'Billing Rate'!$B$1</f>
        <v>-208.8182793</v>
      </c>
      <c r="V58" s="25">
        <f t="shared" si="66"/>
        <v>92.12966137</v>
      </c>
      <c r="W58" s="25">
        <f t="shared" si="67"/>
        <v>-116.6886179</v>
      </c>
      <c r="X58" s="25">
        <f t="shared" si="68"/>
        <v>4.606483069</v>
      </c>
      <c r="Y58" s="25">
        <f t="shared" si="69"/>
        <v>-112.0821348</v>
      </c>
    </row>
    <row r="59">
      <c r="B59" s="46" t="s">
        <v>122</v>
      </c>
      <c r="C59" s="24">
        <v>31.0</v>
      </c>
      <c r="D59" s="22">
        <v>16.05</v>
      </c>
      <c r="E59" s="23">
        <f t="shared" si="55"/>
        <v>0.66875</v>
      </c>
      <c r="F59" s="22">
        <f t="shared" si="56"/>
        <v>7.95</v>
      </c>
      <c r="G59" s="23">
        <f t="shared" si="57"/>
        <v>0.33125</v>
      </c>
      <c r="H59" s="59">
        <v>0.1449493112</v>
      </c>
      <c r="I59" s="60">
        <f t="shared" si="58"/>
        <v>9281.0851</v>
      </c>
      <c r="J59" s="61">
        <f t="shared" si="59"/>
        <v>18.65357271</v>
      </c>
      <c r="K59" s="25">
        <v>6634.0</v>
      </c>
      <c r="L59" s="62">
        <f t="shared" si="60"/>
        <v>8.916666667</v>
      </c>
      <c r="M59" s="63">
        <f t="shared" si="61"/>
        <v>1</v>
      </c>
      <c r="N59" s="63">
        <f t="shared" si="62"/>
        <v>0.33125</v>
      </c>
      <c r="O59" s="25">
        <f t="shared" si="63"/>
        <v>-2647.0851</v>
      </c>
      <c r="P59" s="25">
        <f t="shared" si="64"/>
        <v>2197.5125</v>
      </c>
      <c r="Q59" s="64">
        <f>C59*'Rate Codes'!$D$7</f>
        <v>53.490035</v>
      </c>
      <c r="R59" s="25">
        <f>P59*'Rate Codes'!$D$8</f>
        <v>28.46437941</v>
      </c>
      <c r="S59" s="25">
        <f t="shared" si="65"/>
        <v>81.95441441</v>
      </c>
      <c r="T59" s="66">
        <f>P59*'Rate Codes'!$D$8</f>
        <v>28.46437941</v>
      </c>
      <c r="U59" s="67">
        <f>(O59)*'Billing Rate'!$B$1</f>
        <v>-180.0017868</v>
      </c>
      <c r="V59" s="25">
        <f t="shared" si="66"/>
        <v>110.4187938</v>
      </c>
      <c r="W59" s="25">
        <f t="shared" si="67"/>
        <v>-69.58299296</v>
      </c>
      <c r="X59" s="25">
        <f t="shared" si="68"/>
        <v>5.520939691</v>
      </c>
      <c r="Y59" s="25">
        <f t="shared" si="69"/>
        <v>-64.06205327</v>
      </c>
    </row>
    <row r="60">
      <c r="B60" s="46" t="s">
        <v>123</v>
      </c>
      <c r="C60" s="24">
        <v>31.0</v>
      </c>
      <c r="D60" s="22">
        <v>14.5167</v>
      </c>
      <c r="E60" s="23">
        <f t="shared" si="55"/>
        <v>0.6048625</v>
      </c>
      <c r="F60" s="22">
        <f t="shared" si="56"/>
        <v>9.4833</v>
      </c>
      <c r="G60" s="23">
        <f t="shared" si="57"/>
        <v>0.3951375</v>
      </c>
      <c r="H60" s="59">
        <v>0.1246952409</v>
      </c>
      <c r="I60" s="60">
        <f t="shared" si="58"/>
        <v>7984.219675</v>
      </c>
      <c r="J60" s="61">
        <f t="shared" si="59"/>
        <v>17.74201254</v>
      </c>
      <c r="K60" s="25">
        <v>5909.0</v>
      </c>
      <c r="L60" s="62">
        <f t="shared" si="60"/>
        <v>7.942204301</v>
      </c>
      <c r="M60" s="63">
        <f t="shared" si="61"/>
        <v>1</v>
      </c>
      <c r="N60" s="63">
        <f t="shared" si="62"/>
        <v>0.3951375</v>
      </c>
      <c r="O60" s="25">
        <f t="shared" si="63"/>
        <v>-2075.219675</v>
      </c>
      <c r="P60" s="25">
        <f t="shared" si="64"/>
        <v>2334.867488</v>
      </c>
      <c r="Q60" s="64">
        <f>C60*'Rate Codes'!$D$7</f>
        <v>53.490035</v>
      </c>
      <c r="R60" s="25">
        <f>P60*'Rate Codes'!$D$8</f>
        <v>30.24353857</v>
      </c>
      <c r="S60" s="25">
        <f t="shared" si="65"/>
        <v>83.73357357</v>
      </c>
      <c r="T60" s="66">
        <f>P60*'Rate Codes'!$D$8</f>
        <v>30.24353857</v>
      </c>
      <c r="U60" s="67">
        <f>(O60)*'Billing Rate'!$B$1</f>
        <v>-141.1149379</v>
      </c>
      <c r="V60" s="25">
        <f t="shared" si="66"/>
        <v>113.9771121</v>
      </c>
      <c r="W60" s="25">
        <f t="shared" si="67"/>
        <v>-27.13782575</v>
      </c>
      <c r="X60" s="25">
        <f t="shared" si="68"/>
        <v>5.698855607</v>
      </c>
      <c r="Y60" s="25">
        <f t="shared" si="69"/>
        <v>-21.43897015</v>
      </c>
    </row>
    <row r="61">
      <c r="B61" s="46" t="s">
        <v>124</v>
      </c>
      <c r="C61" s="24">
        <v>30.0</v>
      </c>
      <c r="D61" s="22">
        <v>12.5833</v>
      </c>
      <c r="E61" s="23">
        <f t="shared" si="55"/>
        <v>0.5243041667</v>
      </c>
      <c r="F61" s="22">
        <f t="shared" si="56"/>
        <v>11.4167</v>
      </c>
      <c r="G61" s="23">
        <f t="shared" si="57"/>
        <v>0.4756958333</v>
      </c>
      <c r="H61" s="59">
        <v>0.09825803101</v>
      </c>
      <c r="I61" s="60">
        <f t="shared" si="58"/>
        <v>6291.448645</v>
      </c>
      <c r="J61" s="61">
        <f t="shared" si="59"/>
        <v>16.66613327</v>
      </c>
      <c r="K61" s="25">
        <v>5270.0</v>
      </c>
      <c r="L61" s="62">
        <f t="shared" si="60"/>
        <v>7.319444444</v>
      </c>
      <c r="M61" s="63">
        <f t="shared" si="61"/>
        <v>1</v>
      </c>
      <c r="N61" s="63">
        <f t="shared" si="62"/>
        <v>0.4756958333</v>
      </c>
      <c r="O61" s="25">
        <f t="shared" si="63"/>
        <v>-1021.448645</v>
      </c>
      <c r="P61" s="25">
        <f t="shared" si="64"/>
        <v>2506.917042</v>
      </c>
      <c r="Q61" s="64">
        <f>C61*'Rate Codes'!$D$7</f>
        <v>51.76455</v>
      </c>
      <c r="R61" s="25">
        <f>P61*'Rate Codes'!$D$8</f>
        <v>32.47209644</v>
      </c>
      <c r="S61" s="25">
        <f t="shared" si="65"/>
        <v>84.23664644</v>
      </c>
      <c r="T61" s="66">
        <f>P61*'Rate Codes'!$D$8</f>
        <v>32.47209644</v>
      </c>
      <c r="U61" s="67">
        <f>(O61)*'Billing Rate'!$B$1</f>
        <v>-69.45850786</v>
      </c>
      <c r="V61" s="25">
        <f t="shared" si="66"/>
        <v>116.7087429</v>
      </c>
      <c r="W61" s="25">
        <f t="shared" si="67"/>
        <v>47.25023502</v>
      </c>
      <c r="X61" s="25">
        <f t="shared" si="68"/>
        <v>5.835437144</v>
      </c>
      <c r="Y61" s="25">
        <f t="shared" si="69"/>
        <v>53.08567217</v>
      </c>
    </row>
    <row r="62">
      <c r="B62" s="46" t="s">
        <v>125</v>
      </c>
      <c r="C62" s="24">
        <v>31.0</v>
      </c>
      <c r="D62" s="22">
        <v>10.5833</v>
      </c>
      <c r="E62" s="23">
        <f t="shared" si="55"/>
        <v>0.4409708333</v>
      </c>
      <c r="F62" s="22">
        <f t="shared" si="56"/>
        <v>13.4167</v>
      </c>
      <c r="G62" s="23">
        <f t="shared" si="57"/>
        <v>0.5590291667</v>
      </c>
      <c r="H62" s="59">
        <v>0.06840443866</v>
      </c>
      <c r="I62" s="60">
        <f t="shared" si="58"/>
        <v>4379.927101</v>
      </c>
      <c r="J62" s="61">
        <f t="shared" si="59"/>
        <v>13.35008655</v>
      </c>
      <c r="K62" s="25">
        <v>5946.0</v>
      </c>
      <c r="L62" s="62">
        <f t="shared" si="60"/>
        <v>7.991935484</v>
      </c>
      <c r="M62" s="63">
        <f t="shared" si="61"/>
        <v>1</v>
      </c>
      <c r="N62" s="63">
        <f t="shared" si="62"/>
        <v>0.5590291667</v>
      </c>
      <c r="O62" s="25">
        <f t="shared" si="63"/>
        <v>1566.072899</v>
      </c>
      <c r="P62" s="25">
        <f t="shared" si="64"/>
        <v>3323.987425</v>
      </c>
      <c r="Q62" s="64">
        <f>C62*'Rate Codes'!$D$7</f>
        <v>53.490035</v>
      </c>
      <c r="R62" s="25">
        <f>P62*'Rate Codes'!$D$8</f>
        <v>43.05560912</v>
      </c>
      <c r="S62" s="25">
        <f t="shared" si="65"/>
        <v>96.54564412</v>
      </c>
      <c r="T62" s="66">
        <f>P62*'Rate Codes'!$D$8</f>
        <v>43.05560912</v>
      </c>
      <c r="U62" s="67">
        <f>(O62)*'Billing Rate'!$B$1</f>
        <v>106.4929571</v>
      </c>
      <c r="V62" s="25">
        <f t="shared" si="66"/>
        <v>139.6012532</v>
      </c>
      <c r="W62" s="25">
        <f t="shared" si="67"/>
        <v>246.0942104</v>
      </c>
      <c r="X62" s="25">
        <f t="shared" si="68"/>
        <v>12.30471052</v>
      </c>
      <c r="Y62" s="25">
        <f t="shared" si="69"/>
        <v>258.3989209</v>
      </c>
    </row>
    <row r="63">
      <c r="B63" s="46" t="s">
        <v>126</v>
      </c>
      <c r="C63" s="24">
        <v>30.0</v>
      </c>
      <c r="D63" s="22">
        <v>8.85</v>
      </c>
      <c r="E63" s="23">
        <f t="shared" si="55"/>
        <v>0.36875</v>
      </c>
      <c r="F63" s="22">
        <f t="shared" si="56"/>
        <v>15.15</v>
      </c>
      <c r="G63" s="23">
        <f t="shared" si="57"/>
        <v>0.63125</v>
      </c>
      <c r="H63" s="59">
        <v>0.0271408052</v>
      </c>
      <c r="I63" s="60">
        <f t="shared" si="58"/>
        <v>1737.822144</v>
      </c>
      <c r="J63" s="61">
        <f t="shared" si="59"/>
        <v>6.545469468</v>
      </c>
      <c r="K63" s="25">
        <v>5587.0</v>
      </c>
      <c r="L63" s="62">
        <f t="shared" si="60"/>
        <v>7.759722222</v>
      </c>
      <c r="M63" s="63">
        <f t="shared" si="61"/>
        <v>0.8435185282</v>
      </c>
      <c r="N63" s="63">
        <f t="shared" si="62"/>
        <v>0.6889525427</v>
      </c>
      <c r="O63" s="25">
        <f t="shared" si="63"/>
        <v>3849.177856</v>
      </c>
      <c r="P63" s="25">
        <f t="shared" si="64"/>
        <v>3849.177856</v>
      </c>
      <c r="Q63" s="64">
        <f>C63*'Rate Codes'!$D$7</f>
        <v>51.76455</v>
      </c>
      <c r="R63" s="25">
        <f>P63*'Rate Codes'!$D$8</f>
        <v>49.85840077</v>
      </c>
      <c r="S63" s="25">
        <f t="shared" si="65"/>
        <v>101.6229508</v>
      </c>
      <c r="T63" s="66">
        <f>P63*'Rate Codes'!$D$8</f>
        <v>49.85840077</v>
      </c>
      <c r="U63" s="67">
        <f>(O63)*'Billing Rate'!$B$1</f>
        <v>261.7440942</v>
      </c>
      <c r="V63" s="25">
        <f t="shared" si="66"/>
        <v>151.4813515</v>
      </c>
      <c r="W63" s="25">
        <f t="shared" si="67"/>
        <v>413.2254458</v>
      </c>
      <c r="X63" s="25">
        <f t="shared" si="68"/>
        <v>20.66127229</v>
      </c>
      <c r="Y63" s="25">
        <f t="shared" si="69"/>
        <v>433.886718</v>
      </c>
    </row>
    <row r="64">
      <c r="B64" s="46" t="s">
        <v>127</v>
      </c>
      <c r="C64" s="24">
        <v>31.0</v>
      </c>
      <c r="D64" s="22">
        <v>7.9667</v>
      </c>
      <c r="E64" s="23">
        <f t="shared" si="55"/>
        <v>0.3319458333</v>
      </c>
      <c r="F64" s="22">
        <f t="shared" si="56"/>
        <v>16.0333</v>
      </c>
      <c r="G64" s="23">
        <f t="shared" si="57"/>
        <v>0.6680541667</v>
      </c>
      <c r="H64" s="59">
        <v>0.01559005293</v>
      </c>
      <c r="I64" s="60">
        <f t="shared" si="58"/>
        <v>998.2290137</v>
      </c>
      <c r="J64" s="61">
        <f t="shared" si="59"/>
        <v>4.041941572</v>
      </c>
      <c r="K64" s="25">
        <v>5490.0</v>
      </c>
      <c r="L64" s="62">
        <f t="shared" si="60"/>
        <v>7.379032258</v>
      </c>
      <c r="M64" s="63">
        <f t="shared" si="61"/>
        <v>0.547760388</v>
      </c>
      <c r="N64" s="63">
        <f t="shared" si="62"/>
        <v>0.8181732216</v>
      </c>
      <c r="O64" s="25">
        <f t="shared" si="63"/>
        <v>4491.770986</v>
      </c>
      <c r="P64" s="25">
        <f t="shared" si="64"/>
        <v>4491.770986</v>
      </c>
      <c r="Q64" s="64">
        <f>C64*'Rate Codes'!$D$7</f>
        <v>53.490035</v>
      </c>
      <c r="R64" s="25">
        <f>P64*'Rate Codes'!$D$8</f>
        <v>58.18190959</v>
      </c>
      <c r="S64" s="25">
        <f t="shared" si="65"/>
        <v>111.6719446</v>
      </c>
      <c r="T64" s="66">
        <f>P64*'Rate Codes'!$D$8</f>
        <v>58.18190959</v>
      </c>
      <c r="U64" s="67">
        <f>(O64)*'Billing Rate'!$B$1</f>
        <v>305.4404271</v>
      </c>
      <c r="V64" s="25">
        <f t="shared" si="66"/>
        <v>169.8538542</v>
      </c>
      <c r="W64" s="25">
        <f t="shared" si="67"/>
        <v>475.2942812</v>
      </c>
      <c r="X64" s="25">
        <f t="shared" si="68"/>
        <v>23.76471406</v>
      </c>
      <c r="Y64" s="25">
        <f t="shared" si="69"/>
        <v>499.0589953</v>
      </c>
    </row>
    <row r="65">
      <c r="B65" s="44" t="s">
        <v>109</v>
      </c>
      <c r="C65" s="44"/>
      <c r="D65" s="44"/>
      <c r="E65" s="44"/>
      <c r="F65" s="44"/>
      <c r="G65" s="44"/>
      <c r="H65" s="68">
        <f t="shared" ref="H65:I65" si="70">SUM(H53:H64)</f>
        <v>1</v>
      </c>
      <c r="I65" s="69">
        <f t="shared" si="70"/>
        <v>64029.86688</v>
      </c>
      <c r="J65" s="44"/>
      <c r="K65" s="48">
        <f>SUM(K53:K64)</f>
        <v>66307</v>
      </c>
      <c r="L65" s="20"/>
      <c r="M65" s="20"/>
      <c r="N65" s="20"/>
      <c r="O65" s="48">
        <f t="shared" ref="O65:U65" si="71">SUM(O53:O64)</f>
        <v>2277.133124</v>
      </c>
      <c r="P65" s="48">
        <f t="shared" si="71"/>
        <v>33940.05541</v>
      </c>
      <c r="Q65" s="48">
        <f t="shared" si="71"/>
        <v>629.802025</v>
      </c>
      <c r="R65" s="48">
        <f t="shared" si="71"/>
        <v>439.6255377</v>
      </c>
      <c r="S65" s="48">
        <f t="shared" si="71"/>
        <v>1069.427563</v>
      </c>
      <c r="T65" s="48">
        <f t="shared" si="71"/>
        <v>439.6255377</v>
      </c>
      <c r="U65" s="48">
        <f t="shared" si="71"/>
        <v>154.8450525</v>
      </c>
      <c r="V65" s="48">
        <f t="shared" si="66"/>
        <v>1509.0531</v>
      </c>
      <c r="W65" s="48">
        <f t="shared" ref="W65:Y65" si="72">SUM(W53:W64)</f>
        <v>1663.898153</v>
      </c>
      <c r="X65" s="48">
        <f t="shared" si="72"/>
        <v>130.5480488</v>
      </c>
      <c r="Y65" s="48">
        <f t="shared" si="72"/>
        <v>1794.446202</v>
      </c>
    </row>
    <row r="67">
      <c r="A67" s="76">
        <v>4.0</v>
      </c>
      <c r="B67" s="12" t="s">
        <v>128</v>
      </c>
      <c r="C67" s="12"/>
      <c r="D67" s="15"/>
      <c r="E67" s="15"/>
      <c r="F67" s="15"/>
      <c r="G67" s="15"/>
      <c r="H67" s="15">
        <f>$H$1* POWER((1 -$O$1),A67)</f>
        <v>63709.71754</v>
      </c>
      <c r="I67" s="1" t="s">
        <v>132</v>
      </c>
      <c r="J67" s="1"/>
      <c r="K67" s="8">
        <f>H67/K81</f>
        <v>0.9608294379</v>
      </c>
      <c r="L67" s="8"/>
      <c r="M67" s="8"/>
      <c r="N67" s="8"/>
      <c r="O67" s="1" t="s">
        <v>133</v>
      </c>
      <c r="P67" s="6">
        <f>1-K67</f>
        <v>0.03917056207</v>
      </c>
      <c r="Q67" s="12" t="s">
        <v>74</v>
      </c>
      <c r="T67" s="12" t="s">
        <v>78</v>
      </c>
      <c r="U67" s="12"/>
      <c r="V67" s="12"/>
      <c r="W67" s="12"/>
      <c r="X67" s="12"/>
      <c r="Y67" s="12"/>
    </row>
    <row r="68">
      <c r="A68" s="12"/>
      <c r="B68" s="77" t="s">
        <v>83</v>
      </c>
      <c r="C68" s="20" t="s">
        <v>88</v>
      </c>
      <c r="D68" s="20" t="s">
        <v>84</v>
      </c>
      <c r="E68" s="20" t="s">
        <v>85</v>
      </c>
      <c r="F68" s="20" t="s">
        <v>86</v>
      </c>
      <c r="G68" s="20" t="s">
        <v>87</v>
      </c>
      <c r="H68" s="20" t="s">
        <v>134</v>
      </c>
      <c r="I68" s="44" t="s">
        <v>135</v>
      </c>
      <c r="J68" s="53" t="s">
        <v>92</v>
      </c>
      <c r="K68" s="20" t="s">
        <v>89</v>
      </c>
      <c r="L68" s="53" t="s">
        <v>90</v>
      </c>
      <c r="M68" s="53" t="s">
        <v>136</v>
      </c>
      <c r="N68" s="53" t="s">
        <v>137</v>
      </c>
      <c r="O68" s="20" t="s">
        <v>138</v>
      </c>
      <c r="P68" s="20" t="s">
        <v>139</v>
      </c>
      <c r="Q68" s="78" t="s">
        <v>76</v>
      </c>
      <c r="R68" s="78" t="s">
        <v>82</v>
      </c>
      <c r="S68" s="78" t="s">
        <v>109</v>
      </c>
      <c r="T68" s="78" t="s">
        <v>80</v>
      </c>
      <c r="U68" s="78" t="s">
        <v>67</v>
      </c>
      <c r="V68" s="45" t="s">
        <v>114</v>
      </c>
      <c r="W68" s="79" t="s">
        <v>115</v>
      </c>
      <c r="X68" s="79" t="s">
        <v>60</v>
      </c>
      <c r="Y68" s="79" t="s">
        <v>109</v>
      </c>
    </row>
    <row r="69">
      <c r="A69" s="12"/>
      <c r="B69" s="80" t="s">
        <v>117</v>
      </c>
      <c r="C69" s="24">
        <v>31.0</v>
      </c>
      <c r="D69" s="22">
        <v>8.45</v>
      </c>
      <c r="E69" s="23">
        <f t="shared" ref="E69:E80" si="73">D69/24</f>
        <v>0.3520833333</v>
      </c>
      <c r="F69" s="22">
        <f t="shared" ref="F69:F80" si="74">24-D69</f>
        <v>15.55</v>
      </c>
      <c r="G69" s="23">
        <f t="shared" ref="G69:G80" si="75">F69/24</f>
        <v>0.6479166667</v>
      </c>
      <c r="H69" s="59">
        <v>0.02731296772</v>
      </c>
      <c r="I69" s="60">
        <f t="shared" ref="I69:I80" si="76">H$67*H69</f>
        <v>1740.101459</v>
      </c>
      <c r="J69" s="61">
        <f t="shared" ref="J69:J80" si="77">I69/C69/D69</f>
        <v>6.642876345</v>
      </c>
      <c r="K69" s="25">
        <v>5726.0</v>
      </c>
      <c r="L69" s="62">
        <f t="shared" ref="L69:L80" si="78">K69/C69/24</f>
        <v>7.696236559</v>
      </c>
      <c r="M69" s="63">
        <f t="shared" ref="M69:M80" si="79">IF((J69/L69)&gt;1,1,J69/L69)</f>
        <v>0.8631330773</v>
      </c>
      <c r="N69" s="63">
        <f t="shared" ref="N69:N80" si="80">1-E69*M69</f>
        <v>0.696105229</v>
      </c>
      <c r="O69" s="25">
        <f t="shared" ref="O69:O80" si="81">K69-I69</f>
        <v>3985.898541</v>
      </c>
      <c r="P69" s="25">
        <f t="shared" ref="P69:P80" si="82">K69*N69</f>
        <v>3985.898541</v>
      </c>
      <c r="Q69" s="64">
        <f>C69*'Rate Codes'!$D$7</f>
        <v>53.490035</v>
      </c>
      <c r="R69" s="25">
        <f>P69*'Rate Codes'!$D$8</f>
        <v>51.62934381</v>
      </c>
      <c r="S69" s="81">
        <f t="shared" ref="S69:S80" si="83">SUM(Q69:R69)</f>
        <v>105.1193788</v>
      </c>
      <c r="T69" s="66">
        <f>P69*'Rate Codes'!$D$8</f>
        <v>51.62934381</v>
      </c>
      <c r="U69" s="67">
        <f>(O69)*'Billing Rate'!$B$1</f>
        <v>271.0411008</v>
      </c>
      <c r="V69" s="25">
        <f t="shared" ref="V69:V81" si="84">S69+T69</f>
        <v>156.7487226</v>
      </c>
      <c r="W69" s="81">
        <f t="shared" ref="W69:W80" si="85">U69+S69+T69</f>
        <v>427.7898234</v>
      </c>
      <c r="X69" s="25">
        <f t="shared" ref="X69:X80" si="86">(IF(U69&gt;0,U69,0)+V69)*0.05</f>
        <v>21.38949117</v>
      </c>
      <c r="Y69" s="81">
        <f t="shared" ref="Y69:Y80" si="87">W69+X69</f>
        <v>449.1793146</v>
      </c>
    </row>
    <row r="70">
      <c r="A70" s="12"/>
      <c r="B70" s="80" t="s">
        <v>118</v>
      </c>
      <c r="C70" s="24">
        <v>28.0</v>
      </c>
      <c r="D70" s="22">
        <v>9.9167</v>
      </c>
      <c r="E70" s="23">
        <f t="shared" si="73"/>
        <v>0.4131958333</v>
      </c>
      <c r="F70" s="22">
        <f t="shared" si="74"/>
        <v>14.0833</v>
      </c>
      <c r="G70" s="23">
        <f t="shared" si="75"/>
        <v>0.5868041667</v>
      </c>
      <c r="H70" s="59">
        <v>0.04620731865</v>
      </c>
      <c r="I70" s="60">
        <f t="shared" si="76"/>
        <v>2943.85522</v>
      </c>
      <c r="J70" s="61">
        <f t="shared" si="77"/>
        <v>10.602084</v>
      </c>
      <c r="K70" s="25">
        <v>5279.0</v>
      </c>
      <c r="L70" s="62">
        <f t="shared" si="78"/>
        <v>7.855654762</v>
      </c>
      <c r="M70" s="63">
        <f t="shared" si="79"/>
        <v>1</v>
      </c>
      <c r="N70" s="63">
        <f t="shared" si="80"/>
        <v>0.5868041667</v>
      </c>
      <c r="O70" s="25">
        <f t="shared" si="81"/>
        <v>2335.14478</v>
      </c>
      <c r="P70" s="25">
        <f t="shared" si="82"/>
        <v>3097.739196</v>
      </c>
      <c r="Q70" s="64">
        <f>C70*'Rate Codes'!$D$7</f>
        <v>48.31358</v>
      </c>
      <c r="R70" s="25">
        <f>P70*'Rate Codes'!$D$8</f>
        <v>40.1250158</v>
      </c>
      <c r="S70" s="81">
        <f t="shared" si="83"/>
        <v>88.4385958</v>
      </c>
      <c r="T70" s="66">
        <f>P70*'Rate Codes'!$D$8</f>
        <v>40.1250158</v>
      </c>
      <c r="U70" s="67">
        <f>(O70)*'Billing Rate'!$B$1</f>
        <v>158.7898451</v>
      </c>
      <c r="V70" s="25">
        <f t="shared" si="84"/>
        <v>128.5636116</v>
      </c>
      <c r="W70" s="81">
        <f t="shared" si="85"/>
        <v>287.3534567</v>
      </c>
      <c r="X70" s="25">
        <f t="shared" si="86"/>
        <v>14.36767283</v>
      </c>
      <c r="Y70" s="81">
        <f t="shared" si="87"/>
        <v>301.7211295</v>
      </c>
    </row>
    <row r="71">
      <c r="A71" s="12"/>
      <c r="B71" s="80" t="s">
        <v>119</v>
      </c>
      <c r="C71" s="24">
        <v>31.0</v>
      </c>
      <c r="D71" s="22">
        <v>11.8</v>
      </c>
      <c r="E71" s="23">
        <f t="shared" si="73"/>
        <v>0.4916666667</v>
      </c>
      <c r="F71" s="22">
        <f t="shared" si="74"/>
        <v>12.2</v>
      </c>
      <c r="G71" s="23">
        <f t="shared" si="75"/>
        <v>0.5083333333</v>
      </c>
      <c r="H71" s="59">
        <v>0.08500831624</v>
      </c>
      <c r="I71" s="60">
        <f t="shared" si="76"/>
        <v>5415.855816</v>
      </c>
      <c r="J71" s="61">
        <f t="shared" si="77"/>
        <v>14.80551071</v>
      </c>
      <c r="K71" s="25">
        <v>4991.0</v>
      </c>
      <c r="L71" s="62">
        <f t="shared" si="78"/>
        <v>6.708333333</v>
      </c>
      <c r="M71" s="63">
        <f t="shared" si="79"/>
        <v>1</v>
      </c>
      <c r="N71" s="63">
        <f t="shared" si="80"/>
        <v>0.5083333333</v>
      </c>
      <c r="O71" s="25">
        <f t="shared" si="81"/>
        <v>-424.8558163</v>
      </c>
      <c r="P71" s="25">
        <f t="shared" si="82"/>
        <v>2537.091667</v>
      </c>
      <c r="Q71" s="64">
        <f>C71*'Rate Codes'!$D$7</f>
        <v>53.490035</v>
      </c>
      <c r="R71" s="25">
        <f>P71*'Rate Codes'!$D$8</f>
        <v>32.86294836</v>
      </c>
      <c r="S71" s="81">
        <f t="shared" si="83"/>
        <v>86.35298336</v>
      </c>
      <c r="T71" s="66">
        <f>P71*'Rate Codes'!$D$8</f>
        <v>32.86294836</v>
      </c>
      <c r="U71" s="67">
        <f>(O71)*'Billing Rate'!$B$1</f>
        <v>-28.89019551</v>
      </c>
      <c r="V71" s="25">
        <f t="shared" si="84"/>
        <v>119.2159317</v>
      </c>
      <c r="W71" s="81">
        <f t="shared" si="85"/>
        <v>90.32573621</v>
      </c>
      <c r="X71" s="25">
        <f t="shared" si="86"/>
        <v>5.960796586</v>
      </c>
      <c r="Y71" s="81">
        <f t="shared" si="87"/>
        <v>96.2865328</v>
      </c>
    </row>
    <row r="72">
      <c r="A72" s="12"/>
      <c r="B72" s="80" t="s">
        <v>120</v>
      </c>
      <c r="C72" s="24">
        <v>30.0</v>
      </c>
      <c r="D72" s="22">
        <v>13.8</v>
      </c>
      <c r="E72" s="23">
        <f t="shared" si="73"/>
        <v>0.575</v>
      </c>
      <c r="F72" s="22">
        <f t="shared" si="74"/>
        <v>10.2</v>
      </c>
      <c r="G72" s="23">
        <f t="shared" si="75"/>
        <v>0.425</v>
      </c>
      <c r="H72" s="59">
        <v>0.108773175</v>
      </c>
      <c r="I72" s="60">
        <f t="shared" si="76"/>
        <v>6929.908255</v>
      </c>
      <c r="J72" s="61">
        <f t="shared" si="77"/>
        <v>16.73890883</v>
      </c>
      <c r="K72" s="25">
        <v>4952.0</v>
      </c>
      <c r="L72" s="62">
        <f t="shared" si="78"/>
        <v>6.877777778</v>
      </c>
      <c r="M72" s="63">
        <f t="shared" si="79"/>
        <v>1</v>
      </c>
      <c r="N72" s="63">
        <f t="shared" si="80"/>
        <v>0.425</v>
      </c>
      <c r="O72" s="25">
        <f t="shared" si="81"/>
        <v>-1977.908255</v>
      </c>
      <c r="P72" s="25">
        <f t="shared" si="82"/>
        <v>2104.6</v>
      </c>
      <c r="Q72" s="64">
        <f>C72*'Rate Codes'!$D$7</f>
        <v>51.76455</v>
      </c>
      <c r="R72" s="25">
        <f>P72*'Rate Codes'!$D$8</f>
        <v>27.2608838</v>
      </c>
      <c r="S72" s="81">
        <f t="shared" si="83"/>
        <v>79.0254338</v>
      </c>
      <c r="T72" s="66">
        <f>P72*'Rate Codes'!$D$8</f>
        <v>27.2608838</v>
      </c>
      <c r="U72" s="67">
        <f>(O72)*'Billing Rate'!$B$1</f>
        <v>-134.4977614</v>
      </c>
      <c r="V72" s="25">
        <f t="shared" si="84"/>
        <v>106.2863176</v>
      </c>
      <c r="W72" s="81">
        <f t="shared" si="85"/>
        <v>-28.21144376</v>
      </c>
      <c r="X72" s="25">
        <f t="shared" si="86"/>
        <v>5.31431588</v>
      </c>
      <c r="Y72" s="81">
        <f t="shared" si="87"/>
        <v>-22.89712788</v>
      </c>
    </row>
    <row r="73">
      <c r="A73" s="12"/>
      <c r="B73" s="80" t="s">
        <v>98</v>
      </c>
      <c r="C73" s="24">
        <v>31.0</v>
      </c>
      <c r="D73" s="22">
        <v>15.5333</v>
      </c>
      <c r="E73" s="23">
        <f t="shared" si="73"/>
        <v>0.6472208333</v>
      </c>
      <c r="F73" s="22">
        <f t="shared" si="74"/>
        <v>8.4667</v>
      </c>
      <c r="G73" s="23">
        <f t="shared" si="75"/>
        <v>0.3527791667</v>
      </c>
      <c r="H73" s="59">
        <v>0.1281742617</v>
      </c>
      <c r="I73" s="60">
        <f t="shared" si="76"/>
        <v>8165.946009</v>
      </c>
      <c r="J73" s="61">
        <f t="shared" si="77"/>
        <v>16.95825183</v>
      </c>
      <c r="K73" s="25">
        <v>5559.0</v>
      </c>
      <c r="L73" s="62">
        <f t="shared" si="78"/>
        <v>7.471774194</v>
      </c>
      <c r="M73" s="63">
        <f t="shared" si="79"/>
        <v>1</v>
      </c>
      <c r="N73" s="63">
        <f t="shared" si="80"/>
        <v>0.3527791667</v>
      </c>
      <c r="O73" s="25">
        <f t="shared" si="81"/>
        <v>-2606.946009</v>
      </c>
      <c r="P73" s="25">
        <f t="shared" si="82"/>
        <v>1961.099388</v>
      </c>
      <c r="Q73" s="64">
        <f>C73*'Rate Codes'!$D$7</f>
        <v>53.490035</v>
      </c>
      <c r="R73" s="25">
        <f>P73*'Rate Codes'!$D$8</f>
        <v>25.40212037</v>
      </c>
      <c r="S73" s="81">
        <f t="shared" si="83"/>
        <v>78.89215537</v>
      </c>
      <c r="T73" s="66">
        <f>P73*'Rate Codes'!$D$8</f>
        <v>25.40212037</v>
      </c>
      <c r="U73" s="67">
        <f>(O73)*'Billing Rate'!$B$1</f>
        <v>-177.2723286</v>
      </c>
      <c r="V73" s="25">
        <f t="shared" si="84"/>
        <v>104.2942757</v>
      </c>
      <c r="W73" s="81">
        <f t="shared" si="85"/>
        <v>-72.97805287</v>
      </c>
      <c r="X73" s="25">
        <f t="shared" si="86"/>
        <v>5.214713787</v>
      </c>
      <c r="Y73" s="81">
        <f t="shared" si="87"/>
        <v>-67.76333908</v>
      </c>
    </row>
    <row r="74">
      <c r="A74" s="12"/>
      <c r="B74" s="80" t="s">
        <v>121</v>
      </c>
      <c r="C74" s="24">
        <v>30.0</v>
      </c>
      <c r="D74" s="22">
        <v>16.4667</v>
      </c>
      <c r="E74" s="23">
        <f t="shared" si="73"/>
        <v>0.6861125</v>
      </c>
      <c r="F74" s="22">
        <f t="shared" si="74"/>
        <v>7.5333</v>
      </c>
      <c r="G74" s="23">
        <f t="shared" si="75"/>
        <v>0.3138875</v>
      </c>
      <c r="H74" s="59">
        <v>0.1254860808</v>
      </c>
      <c r="I74" s="60">
        <f t="shared" si="76"/>
        <v>7994.682763</v>
      </c>
      <c r="J74" s="61">
        <f t="shared" si="77"/>
        <v>16.18353559</v>
      </c>
      <c r="K74" s="25">
        <v>4964.0</v>
      </c>
      <c r="L74" s="62">
        <f t="shared" si="78"/>
        <v>6.894444444</v>
      </c>
      <c r="M74" s="63">
        <f t="shared" si="79"/>
        <v>1</v>
      </c>
      <c r="N74" s="63">
        <f t="shared" si="80"/>
        <v>0.3138875</v>
      </c>
      <c r="O74" s="25">
        <f t="shared" si="81"/>
        <v>-3030.682763</v>
      </c>
      <c r="P74" s="25">
        <f t="shared" si="82"/>
        <v>1558.13755</v>
      </c>
      <c r="Q74" s="64">
        <f>C74*'Rate Codes'!$D$7</f>
        <v>51.76455</v>
      </c>
      <c r="R74" s="25">
        <f>P74*'Rate Codes'!$D$8</f>
        <v>20.18255569</v>
      </c>
      <c r="S74" s="81">
        <f t="shared" si="83"/>
        <v>71.94710569</v>
      </c>
      <c r="T74" s="66">
        <f>P74*'Rate Codes'!$D$8</f>
        <v>20.18255569</v>
      </c>
      <c r="U74" s="67">
        <f>(O74)*'Billing Rate'!$B$1</f>
        <v>-206.0864279</v>
      </c>
      <c r="V74" s="25">
        <f t="shared" si="84"/>
        <v>92.12966137</v>
      </c>
      <c r="W74" s="81">
        <f t="shared" si="85"/>
        <v>-113.9567665</v>
      </c>
      <c r="X74" s="25">
        <f t="shared" si="86"/>
        <v>4.606483069</v>
      </c>
      <c r="Y74" s="81">
        <f t="shared" si="87"/>
        <v>-109.3502834</v>
      </c>
    </row>
    <row r="75">
      <c r="A75" s="12"/>
      <c r="B75" s="80" t="s">
        <v>122</v>
      </c>
      <c r="C75" s="24">
        <v>31.0</v>
      </c>
      <c r="D75" s="22">
        <v>16.05</v>
      </c>
      <c r="E75" s="23">
        <f t="shared" si="73"/>
        <v>0.66875</v>
      </c>
      <c r="F75" s="22">
        <f t="shared" si="74"/>
        <v>7.95</v>
      </c>
      <c r="G75" s="23">
        <f t="shared" si="75"/>
        <v>0.33125</v>
      </c>
      <c r="H75" s="59">
        <v>0.1449493112</v>
      </c>
      <c r="I75" s="60">
        <f t="shared" si="76"/>
        <v>9234.679674</v>
      </c>
      <c r="J75" s="61">
        <f t="shared" si="77"/>
        <v>18.56030484</v>
      </c>
      <c r="K75" s="25">
        <v>6634.0</v>
      </c>
      <c r="L75" s="62">
        <f t="shared" si="78"/>
        <v>8.916666667</v>
      </c>
      <c r="M75" s="63">
        <f t="shared" si="79"/>
        <v>1</v>
      </c>
      <c r="N75" s="63">
        <f t="shared" si="80"/>
        <v>0.33125</v>
      </c>
      <c r="O75" s="25">
        <f t="shared" si="81"/>
        <v>-2600.679674</v>
      </c>
      <c r="P75" s="25">
        <f t="shared" si="82"/>
        <v>2197.5125</v>
      </c>
      <c r="Q75" s="64">
        <f>C75*'Rate Codes'!$D$7</f>
        <v>53.490035</v>
      </c>
      <c r="R75" s="25">
        <f>P75*'Rate Codes'!$D$8</f>
        <v>28.46437941</v>
      </c>
      <c r="S75" s="81">
        <f t="shared" si="83"/>
        <v>81.95441441</v>
      </c>
      <c r="T75" s="66">
        <f>P75*'Rate Codes'!$D$8</f>
        <v>28.46437941</v>
      </c>
      <c r="U75" s="67">
        <f>(O75)*'Billing Rate'!$B$1</f>
        <v>-176.8462178</v>
      </c>
      <c r="V75" s="25">
        <f t="shared" si="84"/>
        <v>110.4187938</v>
      </c>
      <c r="W75" s="81">
        <f t="shared" si="85"/>
        <v>-66.42742402</v>
      </c>
      <c r="X75" s="25">
        <f t="shared" si="86"/>
        <v>5.520939691</v>
      </c>
      <c r="Y75" s="81">
        <f t="shared" si="87"/>
        <v>-60.90648433</v>
      </c>
    </row>
    <row r="76">
      <c r="A76" s="12"/>
      <c r="B76" s="80" t="s">
        <v>123</v>
      </c>
      <c r="C76" s="24">
        <v>31.0</v>
      </c>
      <c r="D76" s="22">
        <v>14.5167</v>
      </c>
      <c r="E76" s="23">
        <f t="shared" si="73"/>
        <v>0.6048625</v>
      </c>
      <c r="F76" s="22">
        <f t="shared" si="74"/>
        <v>9.4833</v>
      </c>
      <c r="G76" s="23">
        <f t="shared" si="75"/>
        <v>0.3951375</v>
      </c>
      <c r="H76" s="59">
        <v>0.1246952409</v>
      </c>
      <c r="I76" s="60">
        <f t="shared" si="76"/>
        <v>7944.298576</v>
      </c>
      <c r="J76" s="61">
        <f t="shared" si="77"/>
        <v>17.65330247</v>
      </c>
      <c r="K76" s="25">
        <v>5909.0</v>
      </c>
      <c r="L76" s="62">
        <f t="shared" si="78"/>
        <v>7.942204301</v>
      </c>
      <c r="M76" s="63">
        <f t="shared" si="79"/>
        <v>1</v>
      </c>
      <c r="N76" s="63">
        <f t="shared" si="80"/>
        <v>0.3951375</v>
      </c>
      <c r="O76" s="25">
        <f t="shared" si="81"/>
        <v>-2035.298576</v>
      </c>
      <c r="P76" s="25">
        <f t="shared" si="82"/>
        <v>2334.867488</v>
      </c>
      <c r="Q76" s="64">
        <f>C76*'Rate Codes'!$D$7</f>
        <v>53.490035</v>
      </c>
      <c r="R76" s="25">
        <f>P76*'Rate Codes'!$D$8</f>
        <v>30.24353857</v>
      </c>
      <c r="S76" s="81">
        <f t="shared" si="83"/>
        <v>83.73357357</v>
      </c>
      <c r="T76" s="66">
        <f>P76*'Rate Codes'!$D$8</f>
        <v>30.24353857</v>
      </c>
      <c r="U76" s="67">
        <f>(O76)*'Billing Rate'!$B$1</f>
        <v>-138.4003032</v>
      </c>
      <c r="V76" s="25">
        <f t="shared" si="84"/>
        <v>113.9771121</v>
      </c>
      <c r="W76" s="81">
        <f t="shared" si="85"/>
        <v>-24.42319106</v>
      </c>
      <c r="X76" s="25">
        <f t="shared" si="86"/>
        <v>5.698855607</v>
      </c>
      <c r="Y76" s="81">
        <f t="shared" si="87"/>
        <v>-18.72433546</v>
      </c>
    </row>
    <row r="77">
      <c r="A77" s="12"/>
      <c r="B77" s="80" t="s">
        <v>124</v>
      </c>
      <c r="C77" s="24">
        <v>30.0</v>
      </c>
      <c r="D77" s="22">
        <v>12.5833</v>
      </c>
      <c r="E77" s="23">
        <f t="shared" si="73"/>
        <v>0.5243041667</v>
      </c>
      <c r="F77" s="22">
        <f t="shared" si="74"/>
        <v>11.4167</v>
      </c>
      <c r="G77" s="23">
        <f t="shared" si="75"/>
        <v>0.4756958333</v>
      </c>
      <c r="H77" s="59">
        <v>0.09825803101</v>
      </c>
      <c r="I77" s="60">
        <f t="shared" si="76"/>
        <v>6259.991402</v>
      </c>
      <c r="J77" s="61">
        <f t="shared" si="77"/>
        <v>16.58280261</v>
      </c>
      <c r="K77" s="25">
        <v>5270.0</v>
      </c>
      <c r="L77" s="62">
        <f t="shared" si="78"/>
        <v>7.319444444</v>
      </c>
      <c r="M77" s="63">
        <f t="shared" si="79"/>
        <v>1</v>
      </c>
      <c r="N77" s="63">
        <f t="shared" si="80"/>
        <v>0.4756958333</v>
      </c>
      <c r="O77" s="25">
        <f t="shared" si="81"/>
        <v>-989.9914017</v>
      </c>
      <c r="P77" s="25">
        <f t="shared" si="82"/>
        <v>2506.917042</v>
      </c>
      <c r="Q77" s="64">
        <f>C77*'Rate Codes'!$D$7</f>
        <v>51.76455</v>
      </c>
      <c r="R77" s="25">
        <f>P77*'Rate Codes'!$D$8</f>
        <v>32.47209644</v>
      </c>
      <c r="S77" s="81">
        <f t="shared" si="83"/>
        <v>84.23664644</v>
      </c>
      <c r="T77" s="66">
        <f>P77*'Rate Codes'!$D$8</f>
        <v>32.47209644</v>
      </c>
      <c r="U77" s="67">
        <f>(O77)*'Billing Rate'!$B$1</f>
        <v>-67.31941532</v>
      </c>
      <c r="V77" s="25">
        <f t="shared" si="84"/>
        <v>116.7087429</v>
      </c>
      <c r="W77" s="81">
        <f t="shared" si="85"/>
        <v>49.38932756</v>
      </c>
      <c r="X77" s="25">
        <f t="shared" si="86"/>
        <v>5.835437144</v>
      </c>
      <c r="Y77" s="81">
        <f t="shared" si="87"/>
        <v>55.22476471</v>
      </c>
    </row>
    <row r="78">
      <c r="A78" s="12"/>
      <c r="B78" s="80" t="s">
        <v>125</v>
      </c>
      <c r="C78" s="24">
        <v>31.0</v>
      </c>
      <c r="D78" s="22">
        <v>10.5833</v>
      </c>
      <c r="E78" s="23">
        <f t="shared" si="73"/>
        <v>0.4409708333</v>
      </c>
      <c r="F78" s="22">
        <f t="shared" si="74"/>
        <v>13.4167</v>
      </c>
      <c r="G78" s="23">
        <f t="shared" si="75"/>
        <v>0.5590291667</v>
      </c>
      <c r="H78" s="59">
        <v>0.06840443866</v>
      </c>
      <c r="I78" s="60">
        <f t="shared" si="76"/>
        <v>4358.027466</v>
      </c>
      <c r="J78" s="61">
        <f t="shared" si="77"/>
        <v>13.28333612</v>
      </c>
      <c r="K78" s="25">
        <v>5946.0</v>
      </c>
      <c r="L78" s="62">
        <f t="shared" si="78"/>
        <v>7.991935484</v>
      </c>
      <c r="M78" s="63">
        <f t="shared" si="79"/>
        <v>1</v>
      </c>
      <c r="N78" s="63">
        <f t="shared" si="80"/>
        <v>0.5590291667</v>
      </c>
      <c r="O78" s="25">
        <f t="shared" si="81"/>
        <v>1587.972534</v>
      </c>
      <c r="P78" s="25">
        <f t="shared" si="82"/>
        <v>3323.987425</v>
      </c>
      <c r="Q78" s="64">
        <f>C78*'Rate Codes'!$D$7</f>
        <v>53.490035</v>
      </c>
      <c r="R78" s="25">
        <f>P78*'Rate Codes'!$D$8</f>
        <v>43.05560912</v>
      </c>
      <c r="S78" s="81">
        <f t="shared" si="83"/>
        <v>96.54564412</v>
      </c>
      <c r="T78" s="66">
        <f>P78*'Rate Codes'!$D$8</f>
        <v>43.05560912</v>
      </c>
      <c r="U78" s="67">
        <f>(O78)*'Billing Rate'!$B$1</f>
        <v>107.9821323</v>
      </c>
      <c r="V78" s="25">
        <f t="shared" si="84"/>
        <v>139.6012532</v>
      </c>
      <c r="W78" s="81">
        <f t="shared" si="85"/>
        <v>247.5833856</v>
      </c>
      <c r="X78" s="25">
        <f t="shared" si="86"/>
        <v>12.37916928</v>
      </c>
      <c r="Y78" s="81">
        <f t="shared" si="87"/>
        <v>259.9625549</v>
      </c>
    </row>
    <row r="79">
      <c r="A79" s="12"/>
      <c r="B79" s="80" t="s">
        <v>126</v>
      </c>
      <c r="C79" s="24">
        <v>30.0</v>
      </c>
      <c r="D79" s="22">
        <v>8.85</v>
      </c>
      <c r="E79" s="23">
        <f t="shared" si="73"/>
        <v>0.36875</v>
      </c>
      <c r="F79" s="22">
        <f t="shared" si="74"/>
        <v>15.15</v>
      </c>
      <c r="G79" s="23">
        <f t="shared" si="75"/>
        <v>0.63125</v>
      </c>
      <c r="H79" s="59">
        <v>0.0271408052</v>
      </c>
      <c r="I79" s="60">
        <f t="shared" si="76"/>
        <v>1729.133033</v>
      </c>
      <c r="J79" s="61">
        <f t="shared" si="77"/>
        <v>6.512742121</v>
      </c>
      <c r="K79" s="25">
        <v>5587.0</v>
      </c>
      <c r="L79" s="62">
        <f t="shared" si="78"/>
        <v>7.759722222</v>
      </c>
      <c r="M79" s="63">
        <f t="shared" si="79"/>
        <v>0.8393009356</v>
      </c>
      <c r="N79" s="63">
        <f t="shared" si="80"/>
        <v>0.69050778</v>
      </c>
      <c r="O79" s="25">
        <f t="shared" si="81"/>
        <v>3857.866967</v>
      </c>
      <c r="P79" s="25">
        <f t="shared" si="82"/>
        <v>3857.866967</v>
      </c>
      <c r="Q79" s="64">
        <f>C79*'Rate Codes'!$D$7</f>
        <v>51.76455</v>
      </c>
      <c r="R79" s="25">
        <f>P79*'Rate Codes'!$D$8</f>
        <v>49.97095082</v>
      </c>
      <c r="S79" s="81">
        <f t="shared" si="83"/>
        <v>101.7355008</v>
      </c>
      <c r="T79" s="66">
        <f>P79*'Rate Codes'!$D$8</f>
        <v>49.97095082</v>
      </c>
      <c r="U79" s="67">
        <f>(O79)*'Billing Rate'!$B$1</f>
        <v>262.3349537</v>
      </c>
      <c r="V79" s="25">
        <f t="shared" si="84"/>
        <v>151.7064516</v>
      </c>
      <c r="W79" s="81">
        <f t="shared" si="85"/>
        <v>414.0414054</v>
      </c>
      <c r="X79" s="25">
        <f t="shared" si="86"/>
        <v>20.70207027</v>
      </c>
      <c r="Y79" s="81">
        <f t="shared" si="87"/>
        <v>434.7434757</v>
      </c>
    </row>
    <row r="80">
      <c r="A80" s="12"/>
      <c r="B80" s="80" t="s">
        <v>127</v>
      </c>
      <c r="C80" s="24">
        <v>31.0</v>
      </c>
      <c r="D80" s="22">
        <v>7.9667</v>
      </c>
      <c r="E80" s="23">
        <f t="shared" si="73"/>
        <v>0.3319458333</v>
      </c>
      <c r="F80" s="22">
        <f t="shared" si="74"/>
        <v>16.0333</v>
      </c>
      <c r="G80" s="23">
        <f t="shared" si="75"/>
        <v>0.6680541667</v>
      </c>
      <c r="H80" s="59">
        <v>0.01559005293</v>
      </c>
      <c r="I80" s="60">
        <f t="shared" si="76"/>
        <v>993.2378686</v>
      </c>
      <c r="J80" s="61">
        <f t="shared" si="77"/>
        <v>4.021731865</v>
      </c>
      <c r="K80" s="25">
        <v>5490.0</v>
      </c>
      <c r="L80" s="62">
        <f t="shared" si="78"/>
        <v>7.379032258</v>
      </c>
      <c r="M80" s="63">
        <f t="shared" si="79"/>
        <v>0.545021586</v>
      </c>
      <c r="N80" s="63">
        <f t="shared" si="80"/>
        <v>0.8190823554</v>
      </c>
      <c r="O80" s="25">
        <f t="shared" si="81"/>
        <v>4496.762131</v>
      </c>
      <c r="P80" s="25">
        <f t="shared" si="82"/>
        <v>4496.762131</v>
      </c>
      <c r="Q80" s="64">
        <f>C80*'Rate Codes'!$D$7</f>
        <v>53.490035</v>
      </c>
      <c r="R80" s="25">
        <f>P80*'Rate Codes'!$D$8</f>
        <v>58.24655989</v>
      </c>
      <c r="S80" s="81">
        <f t="shared" si="83"/>
        <v>111.7365949</v>
      </c>
      <c r="T80" s="66">
        <f>P80*'Rate Codes'!$D$8</f>
        <v>58.24655989</v>
      </c>
      <c r="U80" s="67">
        <f>(O80)*'Billing Rate'!$B$1</f>
        <v>305.7798249</v>
      </c>
      <c r="V80" s="25">
        <f t="shared" si="84"/>
        <v>169.9831548</v>
      </c>
      <c r="W80" s="81">
        <f t="shared" si="85"/>
        <v>475.7629797</v>
      </c>
      <c r="X80" s="25">
        <f t="shared" si="86"/>
        <v>23.78814899</v>
      </c>
      <c r="Y80" s="81">
        <f t="shared" si="87"/>
        <v>499.5511287</v>
      </c>
    </row>
    <row r="81">
      <c r="A81" s="12"/>
      <c r="B81" s="77" t="s">
        <v>109</v>
      </c>
      <c r="C81" s="82"/>
      <c r="D81" s="83"/>
      <c r="E81" s="83"/>
      <c r="F81" s="83"/>
      <c r="G81" s="83"/>
      <c r="H81" s="83">
        <f t="shared" ref="H81:I81" si="88">SUM(H69:H80)</f>
        <v>1</v>
      </c>
      <c r="I81" s="84">
        <f t="shared" si="88"/>
        <v>63709.71754</v>
      </c>
      <c r="J81" s="84"/>
      <c r="K81" s="85">
        <f>SUM(K69:K80)</f>
        <v>66307</v>
      </c>
      <c r="L81" s="85"/>
      <c r="M81" s="85"/>
      <c r="N81" s="85"/>
      <c r="O81" s="85">
        <f t="shared" ref="O81:U81" si="89">SUM(O69:O80)</f>
        <v>2597.282459</v>
      </c>
      <c r="P81" s="48">
        <f t="shared" si="89"/>
        <v>33962.47989</v>
      </c>
      <c r="Q81" s="85">
        <f t="shared" si="89"/>
        <v>629.802025</v>
      </c>
      <c r="R81" s="85">
        <f t="shared" si="89"/>
        <v>439.9160021</v>
      </c>
      <c r="S81" s="85">
        <f t="shared" si="89"/>
        <v>1069.718027</v>
      </c>
      <c r="T81" s="85">
        <f t="shared" si="89"/>
        <v>439.9160021</v>
      </c>
      <c r="U81" s="85">
        <f t="shared" si="89"/>
        <v>176.6152072</v>
      </c>
      <c r="V81" s="48">
        <f t="shared" si="84"/>
        <v>1509.634029</v>
      </c>
      <c r="W81" s="85">
        <f t="shared" ref="W81:Y81" si="90">SUM(W69:W80)</f>
        <v>1686.249236</v>
      </c>
      <c r="X81" s="85">
        <f t="shared" si="90"/>
        <v>130.7780943</v>
      </c>
      <c r="Y81" s="85">
        <f t="shared" si="90"/>
        <v>1817.027331</v>
      </c>
    </row>
    <row r="83">
      <c r="A83" s="76">
        <v>5.0</v>
      </c>
      <c r="B83" s="12" t="s">
        <v>128</v>
      </c>
      <c r="C83" s="12"/>
      <c r="D83" s="15"/>
      <c r="E83" s="15"/>
      <c r="F83" s="15"/>
      <c r="G83" s="15"/>
      <c r="H83" s="15">
        <f>$H$1* POWER((1 -$O$1),A83)</f>
        <v>63391.16895</v>
      </c>
      <c r="I83" s="1" t="s">
        <v>132</v>
      </c>
      <c r="J83" s="1"/>
      <c r="K83" s="8">
        <f>H83/K97</f>
        <v>0.9560252907</v>
      </c>
      <c r="L83" s="8"/>
      <c r="M83" s="8"/>
      <c r="N83" s="8"/>
      <c r="O83" s="1" t="s">
        <v>133</v>
      </c>
      <c r="P83" s="6">
        <f>1-K83</f>
        <v>0.04397470926</v>
      </c>
      <c r="Q83" s="12" t="s">
        <v>74</v>
      </c>
      <c r="T83" s="12" t="s">
        <v>78</v>
      </c>
      <c r="U83" s="12"/>
      <c r="V83" s="12"/>
      <c r="W83" s="12"/>
      <c r="X83" s="12"/>
      <c r="Y83" s="12"/>
    </row>
    <row r="84">
      <c r="A84" s="12"/>
      <c r="B84" s="77" t="s">
        <v>83</v>
      </c>
      <c r="C84" s="20" t="s">
        <v>88</v>
      </c>
      <c r="D84" s="20" t="s">
        <v>84</v>
      </c>
      <c r="E84" s="20" t="s">
        <v>85</v>
      </c>
      <c r="F84" s="20" t="s">
        <v>86</v>
      </c>
      <c r="G84" s="20" t="s">
        <v>87</v>
      </c>
      <c r="H84" s="20" t="s">
        <v>134</v>
      </c>
      <c r="I84" s="44" t="s">
        <v>135</v>
      </c>
      <c r="J84" s="53" t="s">
        <v>92</v>
      </c>
      <c r="K84" s="20" t="s">
        <v>89</v>
      </c>
      <c r="L84" s="53" t="s">
        <v>90</v>
      </c>
      <c r="M84" s="53" t="s">
        <v>136</v>
      </c>
      <c r="N84" s="53" t="s">
        <v>137</v>
      </c>
      <c r="O84" s="20" t="s">
        <v>138</v>
      </c>
      <c r="P84" s="20" t="s">
        <v>139</v>
      </c>
      <c r="Q84" s="78" t="s">
        <v>76</v>
      </c>
      <c r="R84" s="78" t="s">
        <v>82</v>
      </c>
      <c r="S84" s="78" t="s">
        <v>109</v>
      </c>
      <c r="T84" s="78" t="s">
        <v>80</v>
      </c>
      <c r="U84" s="78" t="s">
        <v>67</v>
      </c>
      <c r="V84" s="45" t="s">
        <v>114</v>
      </c>
      <c r="W84" s="79" t="s">
        <v>115</v>
      </c>
      <c r="X84" s="79" t="s">
        <v>60</v>
      </c>
      <c r="Y84" s="79" t="s">
        <v>109</v>
      </c>
    </row>
    <row r="85">
      <c r="A85" s="12"/>
      <c r="B85" s="80" t="s">
        <v>117</v>
      </c>
      <c r="C85" s="24">
        <v>31.0</v>
      </c>
      <c r="D85" s="22">
        <v>8.45</v>
      </c>
      <c r="E85" s="23">
        <f t="shared" ref="E85:E96" si="91">D85/24</f>
        <v>0.3520833333</v>
      </c>
      <c r="F85" s="22">
        <f t="shared" ref="F85:F96" si="92">24-D85</f>
        <v>15.55</v>
      </c>
      <c r="G85" s="23">
        <f t="shared" ref="G85:G96" si="93">F85/24</f>
        <v>0.6479166667</v>
      </c>
      <c r="H85" s="59">
        <v>0.02731296772</v>
      </c>
      <c r="I85" s="60">
        <f t="shared" ref="I85:I96" si="94">H$83*H85</f>
        <v>1731.400951</v>
      </c>
      <c r="J85" s="61">
        <f t="shared" ref="J85:J96" si="95">I85/C85/D85</f>
        <v>6.609661964</v>
      </c>
      <c r="K85" s="25">
        <v>5726.0</v>
      </c>
      <c r="L85" s="62">
        <f t="shared" ref="L85:L96" si="96">K85/C85/24</f>
        <v>7.696236559</v>
      </c>
      <c r="M85" s="63">
        <f t="shared" ref="M85:M96" si="97">IF((J85/L85)&gt;1,1,J85/L85)</f>
        <v>0.858817412</v>
      </c>
      <c r="N85" s="63">
        <f t="shared" ref="N85:N96" si="98">1-E85*M85</f>
        <v>0.6976247029</v>
      </c>
      <c r="O85" s="25">
        <f t="shared" ref="O85:O96" si="99">K85-I85</f>
        <v>3994.599049</v>
      </c>
      <c r="P85" s="25">
        <f t="shared" ref="P85:P96" si="100">K85*N85</f>
        <v>3994.599049</v>
      </c>
      <c r="Q85" s="64">
        <f>C85*'Rate Codes'!$D$7</f>
        <v>53.490035</v>
      </c>
      <c r="R85" s="25">
        <f>P85*'Rate Codes'!$D$8</f>
        <v>51.74204148</v>
      </c>
      <c r="S85" s="81">
        <f t="shared" ref="S85:S96" si="101">SUM(Q85:R85)</f>
        <v>105.2320765</v>
      </c>
      <c r="T85" s="66">
        <f>P85*'Rate Codes'!$D$8</f>
        <v>51.74204148</v>
      </c>
      <c r="U85" s="67">
        <f>(O85)*'Billing Rate'!$B$1</f>
        <v>271.6327353</v>
      </c>
      <c r="V85" s="25">
        <f t="shared" ref="V85:V97" si="102">S85+T85</f>
        <v>156.974118</v>
      </c>
      <c r="W85" s="81">
        <f t="shared" ref="W85:W96" si="103">U85+S85+T85</f>
        <v>428.6068533</v>
      </c>
      <c r="X85" s="25">
        <f t="shared" ref="X85:X96" si="104">(IF(U85&gt;0,U85,0)+V85)*0.05</f>
        <v>21.43034266</v>
      </c>
      <c r="Y85" s="81">
        <f t="shared" ref="Y85:Y96" si="105">W85+X85</f>
        <v>450.0371959</v>
      </c>
    </row>
    <row r="86">
      <c r="A86" s="12"/>
      <c r="B86" s="80" t="s">
        <v>118</v>
      </c>
      <c r="C86" s="24">
        <v>28.0</v>
      </c>
      <c r="D86" s="22">
        <v>9.9167</v>
      </c>
      <c r="E86" s="23">
        <f t="shared" si="91"/>
        <v>0.4131958333</v>
      </c>
      <c r="F86" s="22">
        <f t="shared" si="92"/>
        <v>14.0833</v>
      </c>
      <c r="G86" s="23">
        <f t="shared" si="93"/>
        <v>0.5868041667</v>
      </c>
      <c r="H86" s="59">
        <v>0.04620731865</v>
      </c>
      <c r="I86" s="60">
        <f t="shared" si="94"/>
        <v>2929.135943</v>
      </c>
      <c r="J86" s="61">
        <f t="shared" si="95"/>
        <v>10.54907358</v>
      </c>
      <c r="K86" s="25">
        <v>5279.0</v>
      </c>
      <c r="L86" s="62">
        <f t="shared" si="96"/>
        <v>7.855654762</v>
      </c>
      <c r="M86" s="63">
        <f t="shared" si="97"/>
        <v>1</v>
      </c>
      <c r="N86" s="63">
        <f t="shared" si="98"/>
        <v>0.5868041667</v>
      </c>
      <c r="O86" s="25">
        <f t="shared" si="99"/>
        <v>2349.864057</v>
      </c>
      <c r="P86" s="25">
        <f t="shared" si="100"/>
        <v>3097.739196</v>
      </c>
      <c r="Q86" s="64">
        <f>C86*'Rate Codes'!$D$7</f>
        <v>48.31358</v>
      </c>
      <c r="R86" s="25">
        <f>P86*'Rate Codes'!$D$8</f>
        <v>40.1250158</v>
      </c>
      <c r="S86" s="81">
        <f t="shared" si="101"/>
        <v>88.4385958</v>
      </c>
      <c r="T86" s="66">
        <f>P86*'Rate Codes'!$D$8</f>
        <v>40.1250158</v>
      </c>
      <c r="U86" s="67">
        <f>(O86)*'Billing Rate'!$B$1</f>
        <v>159.7907558</v>
      </c>
      <c r="V86" s="25">
        <f t="shared" si="102"/>
        <v>128.5636116</v>
      </c>
      <c r="W86" s="81">
        <f t="shared" si="103"/>
        <v>288.3543675</v>
      </c>
      <c r="X86" s="25">
        <f t="shared" si="104"/>
        <v>14.41771837</v>
      </c>
      <c r="Y86" s="81">
        <f t="shared" si="105"/>
        <v>302.7720858</v>
      </c>
    </row>
    <row r="87">
      <c r="A87" s="12"/>
      <c r="B87" s="80" t="s">
        <v>119</v>
      </c>
      <c r="C87" s="24">
        <v>31.0</v>
      </c>
      <c r="D87" s="22">
        <v>11.8</v>
      </c>
      <c r="E87" s="23">
        <f t="shared" si="91"/>
        <v>0.4916666667</v>
      </c>
      <c r="F87" s="22">
        <f t="shared" si="92"/>
        <v>12.2</v>
      </c>
      <c r="G87" s="23">
        <f t="shared" si="93"/>
        <v>0.5083333333</v>
      </c>
      <c r="H87" s="59">
        <v>0.08500831624</v>
      </c>
      <c r="I87" s="60">
        <f t="shared" si="94"/>
        <v>5388.776537</v>
      </c>
      <c r="J87" s="61">
        <f t="shared" si="95"/>
        <v>14.73148315</v>
      </c>
      <c r="K87" s="25">
        <v>4991.0</v>
      </c>
      <c r="L87" s="62">
        <f t="shared" si="96"/>
        <v>6.708333333</v>
      </c>
      <c r="M87" s="63">
        <f t="shared" si="97"/>
        <v>1</v>
      </c>
      <c r="N87" s="63">
        <f t="shared" si="98"/>
        <v>0.5083333333</v>
      </c>
      <c r="O87" s="25">
        <f t="shared" si="99"/>
        <v>-397.7765372</v>
      </c>
      <c r="P87" s="25">
        <f t="shared" si="100"/>
        <v>2537.091667</v>
      </c>
      <c r="Q87" s="64">
        <f>C87*'Rate Codes'!$D$7</f>
        <v>53.490035</v>
      </c>
      <c r="R87" s="25">
        <f>P87*'Rate Codes'!$D$8</f>
        <v>32.86294836</v>
      </c>
      <c r="S87" s="81">
        <f t="shared" si="101"/>
        <v>86.35298336</v>
      </c>
      <c r="T87" s="66">
        <f>P87*'Rate Codes'!$D$8</f>
        <v>32.86294836</v>
      </c>
      <c r="U87" s="67">
        <f>(O87)*'Billing Rate'!$B$1</f>
        <v>-27.04880453</v>
      </c>
      <c r="V87" s="25">
        <f t="shared" si="102"/>
        <v>119.2159317</v>
      </c>
      <c r="W87" s="81">
        <f t="shared" si="103"/>
        <v>92.16712719</v>
      </c>
      <c r="X87" s="25">
        <f t="shared" si="104"/>
        <v>5.960796586</v>
      </c>
      <c r="Y87" s="81">
        <f t="shared" si="105"/>
        <v>98.12792377</v>
      </c>
    </row>
    <row r="88">
      <c r="A88" s="12"/>
      <c r="B88" s="80" t="s">
        <v>120</v>
      </c>
      <c r="C88" s="24">
        <v>30.0</v>
      </c>
      <c r="D88" s="22">
        <v>13.8</v>
      </c>
      <c r="E88" s="23">
        <f t="shared" si="91"/>
        <v>0.575</v>
      </c>
      <c r="F88" s="22">
        <f t="shared" si="92"/>
        <v>10.2</v>
      </c>
      <c r="G88" s="23">
        <f t="shared" si="93"/>
        <v>0.425</v>
      </c>
      <c r="H88" s="59">
        <v>0.108773175</v>
      </c>
      <c r="I88" s="60">
        <f t="shared" si="94"/>
        <v>6895.258714</v>
      </c>
      <c r="J88" s="61">
        <f t="shared" si="95"/>
        <v>16.65521428</v>
      </c>
      <c r="K88" s="25">
        <v>4952.0</v>
      </c>
      <c r="L88" s="62">
        <f t="shared" si="96"/>
        <v>6.877777778</v>
      </c>
      <c r="M88" s="63">
        <f t="shared" si="97"/>
        <v>1</v>
      </c>
      <c r="N88" s="63">
        <f t="shared" si="98"/>
        <v>0.425</v>
      </c>
      <c r="O88" s="25">
        <f t="shared" si="99"/>
        <v>-1943.258714</v>
      </c>
      <c r="P88" s="25">
        <f t="shared" si="100"/>
        <v>2104.6</v>
      </c>
      <c r="Q88" s="64">
        <f>C88*'Rate Codes'!$D$7</f>
        <v>51.76455</v>
      </c>
      <c r="R88" s="25">
        <f>P88*'Rate Codes'!$D$8</f>
        <v>27.2608838</v>
      </c>
      <c r="S88" s="81">
        <f t="shared" si="101"/>
        <v>79.0254338</v>
      </c>
      <c r="T88" s="66">
        <f>P88*'Rate Codes'!$D$8</f>
        <v>27.2608838</v>
      </c>
      <c r="U88" s="67">
        <f>(O88)*'Billing Rate'!$B$1</f>
        <v>-132.1415926</v>
      </c>
      <c r="V88" s="25">
        <f t="shared" si="102"/>
        <v>106.2863176</v>
      </c>
      <c r="W88" s="81">
        <f t="shared" si="103"/>
        <v>-25.85527495</v>
      </c>
      <c r="X88" s="25">
        <f t="shared" si="104"/>
        <v>5.31431588</v>
      </c>
      <c r="Y88" s="81">
        <f t="shared" si="105"/>
        <v>-20.54095907</v>
      </c>
    </row>
    <row r="89">
      <c r="A89" s="12"/>
      <c r="B89" s="80" t="s">
        <v>98</v>
      </c>
      <c r="C89" s="24">
        <v>31.0</v>
      </c>
      <c r="D89" s="22">
        <v>15.5333</v>
      </c>
      <c r="E89" s="23">
        <f t="shared" si="91"/>
        <v>0.6472208333</v>
      </c>
      <c r="F89" s="22">
        <f t="shared" si="92"/>
        <v>8.4667</v>
      </c>
      <c r="G89" s="23">
        <f t="shared" si="93"/>
        <v>0.3527791667</v>
      </c>
      <c r="H89" s="59">
        <v>0.1281742617</v>
      </c>
      <c r="I89" s="60">
        <f t="shared" si="94"/>
        <v>8125.116279</v>
      </c>
      <c r="J89" s="61">
        <f t="shared" si="95"/>
        <v>16.87346057</v>
      </c>
      <c r="K89" s="25">
        <v>5559.0</v>
      </c>
      <c r="L89" s="62">
        <f t="shared" si="96"/>
        <v>7.471774194</v>
      </c>
      <c r="M89" s="63">
        <f t="shared" si="97"/>
        <v>1</v>
      </c>
      <c r="N89" s="63">
        <f t="shared" si="98"/>
        <v>0.3527791667</v>
      </c>
      <c r="O89" s="25">
        <f t="shared" si="99"/>
        <v>-2566.116279</v>
      </c>
      <c r="P89" s="25">
        <f t="shared" si="100"/>
        <v>1961.099388</v>
      </c>
      <c r="Q89" s="64">
        <f>C89*'Rate Codes'!$D$7</f>
        <v>53.490035</v>
      </c>
      <c r="R89" s="25">
        <f>P89*'Rate Codes'!$D$8</f>
        <v>25.40212037</v>
      </c>
      <c r="S89" s="81">
        <f t="shared" si="101"/>
        <v>78.89215537</v>
      </c>
      <c r="T89" s="66">
        <f>P89*'Rate Codes'!$D$8</f>
        <v>25.40212037</v>
      </c>
      <c r="U89" s="67">
        <f>(O89)*'Billing Rate'!$B$1</f>
        <v>-174.495907</v>
      </c>
      <c r="V89" s="25">
        <f t="shared" si="102"/>
        <v>104.2942757</v>
      </c>
      <c r="W89" s="81">
        <f t="shared" si="103"/>
        <v>-70.20163123</v>
      </c>
      <c r="X89" s="25">
        <f t="shared" si="104"/>
        <v>5.214713787</v>
      </c>
      <c r="Y89" s="81">
        <f t="shared" si="105"/>
        <v>-64.98691744</v>
      </c>
    </row>
    <row r="90">
      <c r="A90" s="12"/>
      <c r="B90" s="80" t="s">
        <v>121</v>
      </c>
      <c r="C90" s="24">
        <v>30.0</v>
      </c>
      <c r="D90" s="22">
        <v>16.4667</v>
      </c>
      <c r="E90" s="23">
        <f t="shared" si="91"/>
        <v>0.6861125</v>
      </c>
      <c r="F90" s="22">
        <f t="shared" si="92"/>
        <v>7.5333</v>
      </c>
      <c r="G90" s="23">
        <f t="shared" si="93"/>
        <v>0.3138875</v>
      </c>
      <c r="H90" s="59">
        <v>0.1254860808</v>
      </c>
      <c r="I90" s="60">
        <f t="shared" si="94"/>
        <v>7954.709349</v>
      </c>
      <c r="J90" s="61">
        <f t="shared" si="95"/>
        <v>16.10261791</v>
      </c>
      <c r="K90" s="25">
        <v>4964.0</v>
      </c>
      <c r="L90" s="62">
        <f t="shared" si="96"/>
        <v>6.894444444</v>
      </c>
      <c r="M90" s="63">
        <f t="shared" si="97"/>
        <v>1</v>
      </c>
      <c r="N90" s="63">
        <f t="shared" si="98"/>
        <v>0.3138875</v>
      </c>
      <c r="O90" s="25">
        <f t="shared" si="99"/>
        <v>-2990.709349</v>
      </c>
      <c r="P90" s="25">
        <f t="shared" si="100"/>
        <v>1558.13755</v>
      </c>
      <c r="Q90" s="64">
        <f>C90*'Rate Codes'!$D$7</f>
        <v>51.76455</v>
      </c>
      <c r="R90" s="25">
        <f>P90*'Rate Codes'!$D$8</f>
        <v>20.18255569</v>
      </c>
      <c r="S90" s="81">
        <f t="shared" si="101"/>
        <v>71.94710569</v>
      </c>
      <c r="T90" s="66">
        <f>P90*'Rate Codes'!$D$8</f>
        <v>20.18255569</v>
      </c>
      <c r="U90" s="67">
        <f>(O90)*'Billing Rate'!$B$1</f>
        <v>-203.3682357</v>
      </c>
      <c r="V90" s="25">
        <f t="shared" si="102"/>
        <v>92.12966137</v>
      </c>
      <c r="W90" s="81">
        <f t="shared" si="103"/>
        <v>-111.2385744</v>
      </c>
      <c r="X90" s="25">
        <f t="shared" si="104"/>
        <v>4.606483069</v>
      </c>
      <c r="Y90" s="81">
        <f t="shared" si="105"/>
        <v>-106.6320913</v>
      </c>
    </row>
    <row r="91">
      <c r="A91" s="12"/>
      <c r="B91" s="80" t="s">
        <v>122</v>
      </c>
      <c r="C91" s="24">
        <v>31.0</v>
      </c>
      <c r="D91" s="22">
        <v>16.05</v>
      </c>
      <c r="E91" s="23">
        <f t="shared" si="91"/>
        <v>0.66875</v>
      </c>
      <c r="F91" s="22">
        <f t="shared" si="92"/>
        <v>7.95</v>
      </c>
      <c r="G91" s="23">
        <f t="shared" si="93"/>
        <v>0.33125</v>
      </c>
      <c r="H91" s="59">
        <v>0.1449493112</v>
      </c>
      <c r="I91" s="60">
        <f t="shared" si="94"/>
        <v>9188.506276</v>
      </c>
      <c r="J91" s="61">
        <f t="shared" si="95"/>
        <v>18.46750332</v>
      </c>
      <c r="K91" s="25">
        <v>6634.0</v>
      </c>
      <c r="L91" s="62">
        <f t="shared" si="96"/>
        <v>8.916666667</v>
      </c>
      <c r="M91" s="63">
        <f t="shared" si="97"/>
        <v>1</v>
      </c>
      <c r="N91" s="63">
        <f t="shared" si="98"/>
        <v>0.33125</v>
      </c>
      <c r="O91" s="25">
        <f t="shared" si="99"/>
        <v>-2554.506276</v>
      </c>
      <c r="P91" s="25">
        <f t="shared" si="100"/>
        <v>2197.5125</v>
      </c>
      <c r="Q91" s="64">
        <f>C91*'Rate Codes'!$D$7</f>
        <v>53.490035</v>
      </c>
      <c r="R91" s="25">
        <f>P91*'Rate Codes'!$D$8</f>
        <v>28.46437941</v>
      </c>
      <c r="S91" s="81">
        <f t="shared" si="101"/>
        <v>81.95441441</v>
      </c>
      <c r="T91" s="66">
        <f>P91*'Rate Codes'!$D$8</f>
        <v>28.46437941</v>
      </c>
      <c r="U91" s="67">
        <f>(O91)*'Billing Rate'!$B$1</f>
        <v>-173.7064268</v>
      </c>
      <c r="V91" s="25">
        <f t="shared" si="102"/>
        <v>110.4187938</v>
      </c>
      <c r="W91" s="81">
        <f t="shared" si="103"/>
        <v>-63.28763294</v>
      </c>
      <c r="X91" s="25">
        <f t="shared" si="104"/>
        <v>5.520939691</v>
      </c>
      <c r="Y91" s="81">
        <f t="shared" si="105"/>
        <v>-57.76669324</v>
      </c>
    </row>
    <row r="92">
      <c r="A92" s="12"/>
      <c r="B92" s="80" t="s">
        <v>123</v>
      </c>
      <c r="C92" s="24">
        <v>31.0</v>
      </c>
      <c r="D92" s="22">
        <v>14.5167</v>
      </c>
      <c r="E92" s="23">
        <f t="shared" si="91"/>
        <v>0.6048625</v>
      </c>
      <c r="F92" s="22">
        <f t="shared" si="92"/>
        <v>9.4833</v>
      </c>
      <c r="G92" s="23">
        <f t="shared" si="93"/>
        <v>0.3951375</v>
      </c>
      <c r="H92" s="59">
        <v>0.1246952409</v>
      </c>
      <c r="I92" s="60">
        <f t="shared" si="94"/>
        <v>7904.577084</v>
      </c>
      <c r="J92" s="61">
        <f t="shared" si="95"/>
        <v>17.56503596</v>
      </c>
      <c r="K92" s="25">
        <v>5909.0</v>
      </c>
      <c r="L92" s="62">
        <f t="shared" si="96"/>
        <v>7.942204301</v>
      </c>
      <c r="M92" s="63">
        <f t="shared" si="97"/>
        <v>1</v>
      </c>
      <c r="N92" s="63">
        <f t="shared" si="98"/>
        <v>0.3951375</v>
      </c>
      <c r="O92" s="25">
        <f t="shared" si="99"/>
        <v>-1995.577084</v>
      </c>
      <c r="P92" s="25">
        <f t="shared" si="100"/>
        <v>2334.867488</v>
      </c>
      <c r="Q92" s="64">
        <f>C92*'Rate Codes'!$D$7</f>
        <v>53.490035</v>
      </c>
      <c r="R92" s="25">
        <f>P92*'Rate Codes'!$D$8</f>
        <v>30.24353857</v>
      </c>
      <c r="S92" s="81">
        <f t="shared" si="101"/>
        <v>83.73357357</v>
      </c>
      <c r="T92" s="66">
        <f>P92*'Rate Codes'!$D$8</f>
        <v>30.24353857</v>
      </c>
      <c r="U92" s="67">
        <f>(O92)*'Billing Rate'!$B$1</f>
        <v>-135.6992417</v>
      </c>
      <c r="V92" s="25">
        <f t="shared" si="102"/>
        <v>113.9771121</v>
      </c>
      <c r="W92" s="81">
        <f t="shared" si="103"/>
        <v>-21.72212955</v>
      </c>
      <c r="X92" s="25">
        <f t="shared" si="104"/>
        <v>5.698855607</v>
      </c>
      <c r="Y92" s="81">
        <f t="shared" si="105"/>
        <v>-16.02327394</v>
      </c>
    </row>
    <row r="93">
      <c r="A93" s="12"/>
      <c r="B93" s="80" t="s">
        <v>124</v>
      </c>
      <c r="C93" s="24">
        <v>30.0</v>
      </c>
      <c r="D93" s="22">
        <v>12.5833</v>
      </c>
      <c r="E93" s="23">
        <f t="shared" si="91"/>
        <v>0.5243041667</v>
      </c>
      <c r="F93" s="22">
        <f t="shared" si="92"/>
        <v>11.4167</v>
      </c>
      <c r="G93" s="23">
        <f t="shared" si="93"/>
        <v>0.4756958333</v>
      </c>
      <c r="H93" s="59">
        <v>0.09825803101</v>
      </c>
      <c r="I93" s="60">
        <f t="shared" si="94"/>
        <v>6228.691445</v>
      </c>
      <c r="J93" s="61">
        <f t="shared" si="95"/>
        <v>16.4998886</v>
      </c>
      <c r="K93" s="25">
        <v>5270.0</v>
      </c>
      <c r="L93" s="62">
        <f t="shared" si="96"/>
        <v>7.319444444</v>
      </c>
      <c r="M93" s="63">
        <f t="shared" si="97"/>
        <v>1</v>
      </c>
      <c r="N93" s="63">
        <f t="shared" si="98"/>
        <v>0.4756958333</v>
      </c>
      <c r="O93" s="25">
        <f t="shared" si="99"/>
        <v>-958.6914447</v>
      </c>
      <c r="P93" s="25">
        <f t="shared" si="100"/>
        <v>2506.917042</v>
      </c>
      <c r="Q93" s="64">
        <f>C93*'Rate Codes'!$D$7</f>
        <v>51.76455</v>
      </c>
      <c r="R93" s="25">
        <f>P93*'Rate Codes'!$D$8</f>
        <v>32.47209644</v>
      </c>
      <c r="S93" s="81">
        <f t="shared" si="101"/>
        <v>84.23664644</v>
      </c>
      <c r="T93" s="66">
        <f>P93*'Rate Codes'!$D$8</f>
        <v>32.47209644</v>
      </c>
      <c r="U93" s="67">
        <f>(O93)*'Billing Rate'!$B$1</f>
        <v>-65.19101824</v>
      </c>
      <c r="V93" s="25">
        <f t="shared" si="102"/>
        <v>116.7087429</v>
      </c>
      <c r="W93" s="81">
        <f t="shared" si="103"/>
        <v>51.51772464</v>
      </c>
      <c r="X93" s="25">
        <f t="shared" si="104"/>
        <v>5.835437144</v>
      </c>
      <c r="Y93" s="81">
        <f t="shared" si="105"/>
        <v>57.35316178</v>
      </c>
    </row>
    <row r="94">
      <c r="A94" s="12"/>
      <c r="B94" s="80" t="s">
        <v>125</v>
      </c>
      <c r="C94" s="24">
        <v>31.0</v>
      </c>
      <c r="D94" s="22">
        <v>10.5833</v>
      </c>
      <c r="E94" s="23">
        <f t="shared" si="91"/>
        <v>0.4409708333</v>
      </c>
      <c r="F94" s="22">
        <f t="shared" si="92"/>
        <v>13.4167</v>
      </c>
      <c r="G94" s="23">
        <f t="shared" si="93"/>
        <v>0.5590291667</v>
      </c>
      <c r="H94" s="59">
        <v>0.06840443866</v>
      </c>
      <c r="I94" s="60">
        <f t="shared" si="94"/>
        <v>4336.237328</v>
      </c>
      <c r="J94" s="61">
        <f t="shared" si="95"/>
        <v>13.21691944</v>
      </c>
      <c r="K94" s="25">
        <v>5946.0</v>
      </c>
      <c r="L94" s="62">
        <f t="shared" si="96"/>
        <v>7.991935484</v>
      </c>
      <c r="M94" s="63">
        <f t="shared" si="97"/>
        <v>1</v>
      </c>
      <c r="N94" s="63">
        <f t="shared" si="98"/>
        <v>0.5590291667</v>
      </c>
      <c r="O94" s="25">
        <f t="shared" si="99"/>
        <v>1609.762672</v>
      </c>
      <c r="P94" s="25">
        <f t="shared" si="100"/>
        <v>3323.987425</v>
      </c>
      <c r="Q94" s="64">
        <f>C94*'Rate Codes'!$D$7</f>
        <v>53.490035</v>
      </c>
      <c r="R94" s="25">
        <f>P94*'Rate Codes'!$D$8</f>
        <v>43.05560912</v>
      </c>
      <c r="S94" s="81">
        <f t="shared" si="101"/>
        <v>96.54564412</v>
      </c>
      <c r="T94" s="66">
        <f>P94*'Rate Codes'!$D$8</f>
        <v>43.05560912</v>
      </c>
      <c r="U94" s="67">
        <f>(O94)*'Billing Rate'!$B$1</f>
        <v>109.4638617</v>
      </c>
      <c r="V94" s="25">
        <f t="shared" si="102"/>
        <v>139.6012532</v>
      </c>
      <c r="W94" s="81">
        <f t="shared" si="103"/>
        <v>249.0651149</v>
      </c>
      <c r="X94" s="25">
        <f t="shared" si="104"/>
        <v>12.45325575</v>
      </c>
      <c r="Y94" s="81">
        <f t="shared" si="105"/>
        <v>261.5183707</v>
      </c>
    </row>
    <row r="95">
      <c r="A95" s="12"/>
      <c r="B95" s="80" t="s">
        <v>126</v>
      </c>
      <c r="C95" s="24">
        <v>30.0</v>
      </c>
      <c r="D95" s="22">
        <v>8.85</v>
      </c>
      <c r="E95" s="23">
        <f t="shared" si="91"/>
        <v>0.36875</v>
      </c>
      <c r="F95" s="22">
        <f t="shared" si="92"/>
        <v>15.15</v>
      </c>
      <c r="G95" s="23">
        <f t="shared" si="93"/>
        <v>0.63125</v>
      </c>
      <c r="H95" s="59">
        <v>0.0271408052</v>
      </c>
      <c r="I95" s="60">
        <f t="shared" si="94"/>
        <v>1720.487368</v>
      </c>
      <c r="J95" s="61">
        <f t="shared" si="95"/>
        <v>6.48017841</v>
      </c>
      <c r="K95" s="25">
        <v>5587.0</v>
      </c>
      <c r="L95" s="62">
        <f t="shared" si="96"/>
        <v>7.759722222</v>
      </c>
      <c r="M95" s="63">
        <f t="shared" si="97"/>
        <v>0.8351044309</v>
      </c>
      <c r="N95" s="63">
        <f t="shared" si="98"/>
        <v>0.6920552411</v>
      </c>
      <c r="O95" s="25">
        <f t="shared" si="99"/>
        <v>3866.512632</v>
      </c>
      <c r="P95" s="25">
        <f t="shared" si="100"/>
        <v>3866.512632</v>
      </c>
      <c r="Q95" s="64">
        <f>C95*'Rate Codes'!$D$7</f>
        <v>51.76455</v>
      </c>
      <c r="R95" s="25">
        <f>P95*'Rate Codes'!$D$8</f>
        <v>50.08293812</v>
      </c>
      <c r="S95" s="81">
        <f t="shared" si="101"/>
        <v>101.8474881</v>
      </c>
      <c r="T95" s="66">
        <f>P95*'Rate Codes'!$D$8</f>
        <v>50.08293812</v>
      </c>
      <c r="U95" s="67">
        <f>(O95)*'Billing Rate'!$B$1</f>
        <v>262.922859</v>
      </c>
      <c r="V95" s="25">
        <f t="shared" si="102"/>
        <v>151.9304262</v>
      </c>
      <c r="W95" s="81">
        <f t="shared" si="103"/>
        <v>414.8532852</v>
      </c>
      <c r="X95" s="25">
        <f t="shared" si="104"/>
        <v>20.74266426</v>
      </c>
      <c r="Y95" s="81">
        <f t="shared" si="105"/>
        <v>435.5959495</v>
      </c>
    </row>
    <row r="96">
      <c r="A96" s="12"/>
      <c r="B96" s="80" t="s">
        <v>127</v>
      </c>
      <c r="C96" s="24">
        <v>31.0</v>
      </c>
      <c r="D96" s="22">
        <v>7.9667</v>
      </c>
      <c r="E96" s="23">
        <f t="shared" si="91"/>
        <v>0.3319458333</v>
      </c>
      <c r="F96" s="22">
        <f t="shared" si="92"/>
        <v>16.0333</v>
      </c>
      <c r="G96" s="23">
        <f t="shared" si="93"/>
        <v>0.6680541667</v>
      </c>
      <c r="H96" s="59">
        <v>0.01559005293</v>
      </c>
      <c r="I96" s="60">
        <f t="shared" si="94"/>
        <v>988.2716793</v>
      </c>
      <c r="J96" s="61">
        <f t="shared" si="95"/>
        <v>4.001623205</v>
      </c>
      <c r="K96" s="25">
        <v>5490.0</v>
      </c>
      <c r="L96" s="62">
        <f t="shared" si="96"/>
        <v>7.379032258</v>
      </c>
      <c r="M96" s="63">
        <f t="shared" si="97"/>
        <v>0.5422964781</v>
      </c>
      <c r="N96" s="63">
        <f t="shared" si="98"/>
        <v>0.8199869437</v>
      </c>
      <c r="O96" s="25">
        <f t="shared" si="99"/>
        <v>4501.728321</v>
      </c>
      <c r="P96" s="25">
        <f t="shared" si="100"/>
        <v>4501.728321</v>
      </c>
      <c r="Q96" s="64">
        <f>C96*'Rate Codes'!$D$7</f>
        <v>53.490035</v>
      </c>
      <c r="R96" s="25">
        <f>P96*'Rate Codes'!$D$8</f>
        <v>58.31088694</v>
      </c>
      <c r="S96" s="81">
        <f t="shared" si="101"/>
        <v>111.8009219</v>
      </c>
      <c r="T96" s="66">
        <f>P96*'Rate Codes'!$D$8</f>
        <v>58.31088694</v>
      </c>
      <c r="U96" s="67">
        <f>(O96)*'Billing Rate'!$B$1</f>
        <v>306.1175258</v>
      </c>
      <c r="V96" s="25">
        <f t="shared" si="102"/>
        <v>170.1118089</v>
      </c>
      <c r="W96" s="81">
        <f t="shared" si="103"/>
        <v>476.2293347</v>
      </c>
      <c r="X96" s="25">
        <f t="shared" si="104"/>
        <v>23.81146673</v>
      </c>
      <c r="Y96" s="81">
        <f t="shared" si="105"/>
        <v>500.0408014</v>
      </c>
    </row>
    <row r="97">
      <c r="A97" s="12"/>
      <c r="B97" s="77" t="s">
        <v>109</v>
      </c>
      <c r="C97" s="82"/>
      <c r="D97" s="83"/>
      <c r="E97" s="83"/>
      <c r="F97" s="83"/>
      <c r="G97" s="83"/>
      <c r="H97" s="83">
        <f t="shared" ref="H97:I97" si="106">SUM(H85:H96)</f>
        <v>1</v>
      </c>
      <c r="I97" s="84">
        <f t="shared" si="106"/>
        <v>63391.16895</v>
      </c>
      <c r="J97" s="84"/>
      <c r="K97" s="85">
        <f>SUM(K85:K96)</f>
        <v>66307</v>
      </c>
      <c r="L97" s="85"/>
      <c r="M97" s="85"/>
      <c r="N97" s="85"/>
      <c r="O97" s="85">
        <f t="shared" ref="O97:U97" si="107">SUM(O85:O96)</f>
        <v>2915.831046</v>
      </c>
      <c r="P97" s="48">
        <f t="shared" si="107"/>
        <v>33984.79226</v>
      </c>
      <c r="Q97" s="85">
        <f t="shared" si="107"/>
        <v>629.802025</v>
      </c>
      <c r="R97" s="85">
        <f t="shared" si="107"/>
        <v>440.2050141</v>
      </c>
      <c r="S97" s="85">
        <f t="shared" si="107"/>
        <v>1070.007039</v>
      </c>
      <c r="T97" s="85">
        <f t="shared" si="107"/>
        <v>440.2050141</v>
      </c>
      <c r="U97" s="85">
        <f t="shared" si="107"/>
        <v>198.2765112</v>
      </c>
      <c r="V97" s="48">
        <f t="shared" si="102"/>
        <v>1510.212053</v>
      </c>
      <c r="W97" s="85">
        <f t="shared" ref="W97:Y97" si="108">SUM(W85:W96)</f>
        <v>1708.488564</v>
      </c>
      <c r="X97" s="85">
        <f t="shared" si="108"/>
        <v>131.0069895</v>
      </c>
      <c r="Y97" s="85">
        <f t="shared" si="108"/>
        <v>1839.495554</v>
      </c>
    </row>
    <row r="99">
      <c r="A99" s="76">
        <v>6.0</v>
      </c>
      <c r="B99" s="12" t="s">
        <v>128</v>
      </c>
      <c r="C99" s="12"/>
      <c r="D99" s="15"/>
      <c r="E99" s="15"/>
      <c r="F99" s="15"/>
      <c r="G99" s="15"/>
      <c r="H99" s="15">
        <f>$H$1* POWER((1 -$O$1),A99)</f>
        <v>63074.21311</v>
      </c>
      <c r="I99" s="1" t="s">
        <v>132</v>
      </c>
      <c r="J99" s="1"/>
      <c r="K99" s="8">
        <f>H99/K113</f>
        <v>0.9512451643</v>
      </c>
      <c r="L99" s="8"/>
      <c r="M99" s="8"/>
      <c r="N99" s="8"/>
      <c r="O99" s="1" t="s">
        <v>133</v>
      </c>
      <c r="P99" s="6">
        <f>1-K99</f>
        <v>0.04875483572</v>
      </c>
      <c r="Q99" s="12" t="s">
        <v>74</v>
      </c>
      <c r="T99" s="12" t="s">
        <v>78</v>
      </c>
      <c r="U99" s="12"/>
      <c r="V99" s="12"/>
      <c r="W99" s="12"/>
      <c r="X99" s="12"/>
      <c r="Y99" s="12"/>
    </row>
    <row r="100">
      <c r="A100" s="12"/>
      <c r="B100" s="77" t="s">
        <v>83</v>
      </c>
      <c r="C100" s="20" t="s">
        <v>88</v>
      </c>
      <c r="D100" s="20" t="s">
        <v>84</v>
      </c>
      <c r="E100" s="20" t="s">
        <v>85</v>
      </c>
      <c r="F100" s="20" t="s">
        <v>86</v>
      </c>
      <c r="G100" s="20" t="s">
        <v>87</v>
      </c>
      <c r="H100" s="20" t="s">
        <v>134</v>
      </c>
      <c r="I100" s="44" t="s">
        <v>135</v>
      </c>
      <c r="J100" s="53" t="s">
        <v>92</v>
      </c>
      <c r="K100" s="20" t="s">
        <v>89</v>
      </c>
      <c r="L100" s="53" t="s">
        <v>90</v>
      </c>
      <c r="M100" s="53" t="s">
        <v>136</v>
      </c>
      <c r="N100" s="53" t="s">
        <v>137</v>
      </c>
      <c r="O100" s="20" t="s">
        <v>138</v>
      </c>
      <c r="P100" s="20" t="s">
        <v>139</v>
      </c>
      <c r="Q100" s="78" t="s">
        <v>76</v>
      </c>
      <c r="R100" s="78" t="s">
        <v>82</v>
      </c>
      <c r="S100" s="78" t="s">
        <v>109</v>
      </c>
      <c r="T100" s="78" t="s">
        <v>80</v>
      </c>
      <c r="U100" s="78" t="s">
        <v>67</v>
      </c>
      <c r="V100" s="45" t="s">
        <v>114</v>
      </c>
      <c r="W100" s="79" t="s">
        <v>115</v>
      </c>
      <c r="X100" s="79" t="s">
        <v>60</v>
      </c>
      <c r="Y100" s="79" t="s">
        <v>109</v>
      </c>
    </row>
    <row r="101">
      <c r="A101" s="12"/>
      <c r="B101" s="80" t="s">
        <v>117</v>
      </c>
      <c r="C101" s="24">
        <v>31.0</v>
      </c>
      <c r="D101" s="22">
        <v>8.45</v>
      </c>
      <c r="E101" s="23">
        <f t="shared" ref="E101:E112" si="109">D101/24</f>
        <v>0.3520833333</v>
      </c>
      <c r="F101" s="22">
        <f t="shared" ref="F101:F112" si="110">24-D101</f>
        <v>15.55</v>
      </c>
      <c r="G101" s="23">
        <f t="shared" ref="G101:G112" si="111">F101/24</f>
        <v>0.6479166667</v>
      </c>
      <c r="H101" s="59">
        <v>0.02731296772</v>
      </c>
      <c r="I101" s="60">
        <f t="shared" ref="I101:I112" si="112">H$99*H101</f>
        <v>1722.743947</v>
      </c>
      <c r="J101" s="61">
        <f t="shared" ref="J101:J112" si="113">I101/C101/D101</f>
        <v>6.576613654</v>
      </c>
      <c r="K101" s="25">
        <v>5726.0</v>
      </c>
      <c r="L101" s="62">
        <f t="shared" ref="L101:L112" si="114">K101/C101/24</f>
        <v>7.696236559</v>
      </c>
      <c r="M101" s="63">
        <f t="shared" ref="M101:M112" si="115">IF((J101/L101)&gt;1,1,J101/L101)</f>
        <v>0.8545233249</v>
      </c>
      <c r="N101" s="63">
        <f t="shared" ref="N101:N112" si="116">1-E101*M101</f>
        <v>0.6991365794</v>
      </c>
      <c r="O101" s="25">
        <f t="shared" ref="O101:O112" si="117">K101-I101</f>
        <v>4003.256053</v>
      </c>
      <c r="P101" s="25">
        <f t="shared" ref="P101:P112" si="118">K101*N101</f>
        <v>4003.256053</v>
      </c>
      <c r="Q101" s="64">
        <f>C101*'Rate Codes'!$D$7</f>
        <v>53.490035</v>
      </c>
      <c r="R101" s="25">
        <f>P101*'Rate Codes'!$D$8</f>
        <v>51.85417566</v>
      </c>
      <c r="S101" s="81">
        <f t="shared" ref="S101:S112" si="119">SUM(Q101:R101)</f>
        <v>105.3442107</v>
      </c>
      <c r="T101" s="66">
        <f>P101*'Rate Codes'!$D$8</f>
        <v>51.85417566</v>
      </c>
      <c r="U101" s="67">
        <f>(O101)*'Billing Rate'!$B$1</f>
        <v>272.2214116</v>
      </c>
      <c r="V101" s="25">
        <f t="shared" ref="V101:V113" si="120">S101+T101</f>
        <v>157.1983863</v>
      </c>
      <c r="W101" s="81">
        <f t="shared" ref="W101:W112" si="121">U101+S101+T101</f>
        <v>429.419798</v>
      </c>
      <c r="X101" s="25">
        <f t="shared" ref="X101:X112" si="122">(IF(U101&gt;0,U101,0)+V101)*0.05</f>
        <v>21.4709899</v>
      </c>
      <c r="Y101" s="81">
        <f t="shared" ref="Y101:Y112" si="123">W101+X101</f>
        <v>450.8907878</v>
      </c>
    </row>
    <row r="102">
      <c r="A102" s="12"/>
      <c r="B102" s="80" t="s">
        <v>118</v>
      </c>
      <c r="C102" s="24">
        <v>28.0</v>
      </c>
      <c r="D102" s="22">
        <v>9.9167</v>
      </c>
      <c r="E102" s="23">
        <f t="shared" si="109"/>
        <v>0.4131958333</v>
      </c>
      <c r="F102" s="22">
        <f t="shared" si="110"/>
        <v>14.0833</v>
      </c>
      <c r="G102" s="23">
        <f t="shared" si="111"/>
        <v>0.5868041667</v>
      </c>
      <c r="H102" s="59">
        <v>0.04620731865</v>
      </c>
      <c r="I102" s="60">
        <f t="shared" si="112"/>
        <v>2914.490264</v>
      </c>
      <c r="J102" s="61">
        <f t="shared" si="113"/>
        <v>10.49632821</v>
      </c>
      <c r="K102" s="25">
        <v>5279.0</v>
      </c>
      <c r="L102" s="62">
        <f t="shared" si="114"/>
        <v>7.855654762</v>
      </c>
      <c r="M102" s="63">
        <f t="shared" si="115"/>
        <v>1</v>
      </c>
      <c r="N102" s="63">
        <f t="shared" si="116"/>
        <v>0.5868041667</v>
      </c>
      <c r="O102" s="25">
        <f t="shared" si="117"/>
        <v>2364.509736</v>
      </c>
      <c r="P102" s="25">
        <f t="shared" si="118"/>
        <v>3097.739196</v>
      </c>
      <c r="Q102" s="64">
        <f>C102*'Rate Codes'!$D$7</f>
        <v>48.31358</v>
      </c>
      <c r="R102" s="25">
        <f>P102*'Rate Codes'!$D$8</f>
        <v>40.1250158</v>
      </c>
      <c r="S102" s="81">
        <f t="shared" si="119"/>
        <v>88.4385958</v>
      </c>
      <c r="T102" s="66">
        <f>P102*'Rate Codes'!$D$8</f>
        <v>40.1250158</v>
      </c>
      <c r="U102" s="67">
        <f>(O102)*'Billing Rate'!$B$1</f>
        <v>160.7866621</v>
      </c>
      <c r="V102" s="25">
        <f t="shared" si="120"/>
        <v>128.5636116</v>
      </c>
      <c r="W102" s="81">
        <f t="shared" si="121"/>
        <v>289.3502737</v>
      </c>
      <c r="X102" s="25">
        <f t="shared" si="122"/>
        <v>14.46751368</v>
      </c>
      <c r="Y102" s="81">
        <f t="shared" si="123"/>
        <v>303.8177874</v>
      </c>
    </row>
    <row r="103">
      <c r="A103" s="12"/>
      <c r="B103" s="80" t="s">
        <v>119</v>
      </c>
      <c r="C103" s="24">
        <v>31.0</v>
      </c>
      <c r="D103" s="22">
        <v>11.8</v>
      </c>
      <c r="E103" s="23">
        <f t="shared" si="109"/>
        <v>0.4916666667</v>
      </c>
      <c r="F103" s="22">
        <f t="shared" si="110"/>
        <v>12.2</v>
      </c>
      <c r="G103" s="23">
        <f t="shared" si="111"/>
        <v>0.5083333333</v>
      </c>
      <c r="H103" s="59">
        <v>0.08500831624</v>
      </c>
      <c r="I103" s="60">
        <f t="shared" si="112"/>
        <v>5361.832654</v>
      </c>
      <c r="J103" s="61">
        <f t="shared" si="113"/>
        <v>14.65782574</v>
      </c>
      <c r="K103" s="25">
        <v>4991.0</v>
      </c>
      <c r="L103" s="62">
        <f t="shared" si="114"/>
        <v>6.708333333</v>
      </c>
      <c r="M103" s="63">
        <f t="shared" si="115"/>
        <v>1</v>
      </c>
      <c r="N103" s="63">
        <f t="shared" si="116"/>
        <v>0.5083333333</v>
      </c>
      <c r="O103" s="25">
        <f t="shared" si="117"/>
        <v>-370.8326545</v>
      </c>
      <c r="P103" s="25">
        <f t="shared" si="118"/>
        <v>2537.091667</v>
      </c>
      <c r="Q103" s="64">
        <f>C103*'Rate Codes'!$D$7</f>
        <v>53.490035</v>
      </c>
      <c r="R103" s="25">
        <f>P103*'Rate Codes'!$D$8</f>
        <v>32.86294836</v>
      </c>
      <c r="S103" s="81">
        <f t="shared" si="119"/>
        <v>86.35298336</v>
      </c>
      <c r="T103" s="66">
        <f>P103*'Rate Codes'!$D$8</f>
        <v>32.86294836</v>
      </c>
      <c r="U103" s="67">
        <f>(O103)*'Billing Rate'!$B$1</f>
        <v>-25.21662051</v>
      </c>
      <c r="V103" s="25">
        <f t="shared" si="120"/>
        <v>119.2159317</v>
      </c>
      <c r="W103" s="81">
        <f t="shared" si="121"/>
        <v>93.99931121</v>
      </c>
      <c r="X103" s="25">
        <f t="shared" si="122"/>
        <v>5.960796586</v>
      </c>
      <c r="Y103" s="81">
        <f t="shared" si="123"/>
        <v>99.9601078</v>
      </c>
    </row>
    <row r="104">
      <c r="A104" s="12"/>
      <c r="B104" s="80" t="s">
        <v>120</v>
      </c>
      <c r="C104" s="24">
        <v>30.0</v>
      </c>
      <c r="D104" s="22">
        <v>13.8</v>
      </c>
      <c r="E104" s="23">
        <f t="shared" si="109"/>
        <v>0.575</v>
      </c>
      <c r="F104" s="22">
        <f t="shared" si="110"/>
        <v>10.2</v>
      </c>
      <c r="G104" s="23">
        <f t="shared" si="111"/>
        <v>0.425</v>
      </c>
      <c r="H104" s="59">
        <v>0.108773175</v>
      </c>
      <c r="I104" s="60">
        <f t="shared" si="112"/>
        <v>6860.78242</v>
      </c>
      <c r="J104" s="61">
        <f t="shared" si="113"/>
        <v>16.57193821</v>
      </c>
      <c r="K104" s="25">
        <v>4952.0</v>
      </c>
      <c r="L104" s="62">
        <f t="shared" si="114"/>
        <v>6.877777778</v>
      </c>
      <c r="M104" s="63">
        <f t="shared" si="115"/>
        <v>1</v>
      </c>
      <c r="N104" s="63">
        <f t="shared" si="116"/>
        <v>0.425</v>
      </c>
      <c r="O104" s="25">
        <f t="shared" si="117"/>
        <v>-1908.78242</v>
      </c>
      <c r="P104" s="25">
        <f t="shared" si="118"/>
        <v>2104.6</v>
      </c>
      <c r="Q104" s="64">
        <f>C104*'Rate Codes'!$D$7</f>
        <v>51.76455</v>
      </c>
      <c r="R104" s="25">
        <f>P104*'Rate Codes'!$D$8</f>
        <v>27.2608838</v>
      </c>
      <c r="S104" s="81">
        <f t="shared" si="119"/>
        <v>79.0254338</v>
      </c>
      <c r="T104" s="66">
        <f>P104*'Rate Codes'!$D$8</f>
        <v>27.2608838</v>
      </c>
      <c r="U104" s="67">
        <f>(O104)*'Billing Rate'!$B$1</f>
        <v>-129.7972046</v>
      </c>
      <c r="V104" s="25">
        <f t="shared" si="120"/>
        <v>106.2863176</v>
      </c>
      <c r="W104" s="81">
        <f t="shared" si="121"/>
        <v>-23.51088699</v>
      </c>
      <c r="X104" s="25">
        <f t="shared" si="122"/>
        <v>5.31431588</v>
      </c>
      <c r="Y104" s="81">
        <f t="shared" si="123"/>
        <v>-18.19657111</v>
      </c>
    </row>
    <row r="105">
      <c r="A105" s="12"/>
      <c r="B105" s="80" t="s">
        <v>98</v>
      </c>
      <c r="C105" s="24">
        <v>31.0</v>
      </c>
      <c r="D105" s="22">
        <v>15.5333</v>
      </c>
      <c r="E105" s="23">
        <f t="shared" si="109"/>
        <v>0.6472208333</v>
      </c>
      <c r="F105" s="22">
        <f t="shared" si="110"/>
        <v>8.4667</v>
      </c>
      <c r="G105" s="23">
        <f t="shared" si="111"/>
        <v>0.3527791667</v>
      </c>
      <c r="H105" s="59">
        <v>0.1281742617</v>
      </c>
      <c r="I105" s="60">
        <f t="shared" si="112"/>
        <v>8084.490697</v>
      </c>
      <c r="J105" s="61">
        <f t="shared" si="113"/>
        <v>16.78909327</v>
      </c>
      <c r="K105" s="25">
        <v>5559.0</v>
      </c>
      <c r="L105" s="62">
        <f t="shared" si="114"/>
        <v>7.471774194</v>
      </c>
      <c r="M105" s="63">
        <f t="shared" si="115"/>
        <v>1</v>
      </c>
      <c r="N105" s="63">
        <f t="shared" si="116"/>
        <v>0.3527791667</v>
      </c>
      <c r="O105" s="25">
        <f t="shared" si="117"/>
        <v>-2525.490697</v>
      </c>
      <c r="P105" s="25">
        <f t="shared" si="118"/>
        <v>1961.099388</v>
      </c>
      <c r="Q105" s="64">
        <f>C105*'Rate Codes'!$D$7</f>
        <v>53.490035</v>
      </c>
      <c r="R105" s="25">
        <f>P105*'Rate Codes'!$D$8</f>
        <v>25.40212037</v>
      </c>
      <c r="S105" s="81">
        <f t="shared" si="119"/>
        <v>78.89215537</v>
      </c>
      <c r="T105" s="66">
        <f>P105*'Rate Codes'!$D$8</f>
        <v>25.40212037</v>
      </c>
      <c r="U105" s="67">
        <f>(O105)*'Billing Rate'!$B$1</f>
        <v>-171.7333674</v>
      </c>
      <c r="V105" s="25">
        <f t="shared" si="120"/>
        <v>104.2942757</v>
      </c>
      <c r="W105" s="81">
        <f t="shared" si="121"/>
        <v>-67.43909169</v>
      </c>
      <c r="X105" s="25">
        <f t="shared" si="122"/>
        <v>5.214713787</v>
      </c>
      <c r="Y105" s="81">
        <f t="shared" si="123"/>
        <v>-62.22437791</v>
      </c>
    </row>
    <row r="106">
      <c r="A106" s="12"/>
      <c r="B106" s="80" t="s">
        <v>121</v>
      </c>
      <c r="C106" s="24">
        <v>30.0</v>
      </c>
      <c r="D106" s="22">
        <v>16.4667</v>
      </c>
      <c r="E106" s="23">
        <f t="shared" si="109"/>
        <v>0.6861125</v>
      </c>
      <c r="F106" s="22">
        <f t="shared" si="110"/>
        <v>7.5333</v>
      </c>
      <c r="G106" s="23">
        <f t="shared" si="111"/>
        <v>0.3138875</v>
      </c>
      <c r="H106" s="59">
        <v>0.1254860808</v>
      </c>
      <c r="I106" s="60">
        <f t="shared" si="112"/>
        <v>7914.935802</v>
      </c>
      <c r="J106" s="61">
        <f t="shared" si="113"/>
        <v>16.02210482</v>
      </c>
      <c r="K106" s="25">
        <v>4964.0</v>
      </c>
      <c r="L106" s="62">
        <f t="shared" si="114"/>
        <v>6.894444444</v>
      </c>
      <c r="M106" s="63">
        <f t="shared" si="115"/>
        <v>1</v>
      </c>
      <c r="N106" s="63">
        <f t="shared" si="116"/>
        <v>0.3138875</v>
      </c>
      <c r="O106" s="25">
        <f t="shared" si="117"/>
        <v>-2950.935802</v>
      </c>
      <c r="P106" s="25">
        <f t="shared" si="118"/>
        <v>1558.13755</v>
      </c>
      <c r="Q106" s="64">
        <f>C106*'Rate Codes'!$D$7</f>
        <v>51.76455</v>
      </c>
      <c r="R106" s="25">
        <f>P106*'Rate Codes'!$D$8</f>
        <v>20.18255569</v>
      </c>
      <c r="S106" s="81">
        <f t="shared" si="119"/>
        <v>71.94710569</v>
      </c>
      <c r="T106" s="66">
        <f>P106*'Rate Codes'!$D$8</f>
        <v>20.18255569</v>
      </c>
      <c r="U106" s="67">
        <f>(O106)*'Billing Rate'!$B$1</f>
        <v>-200.6636346</v>
      </c>
      <c r="V106" s="25">
        <f t="shared" si="120"/>
        <v>92.12966137</v>
      </c>
      <c r="W106" s="81">
        <f t="shared" si="121"/>
        <v>-108.5339732</v>
      </c>
      <c r="X106" s="25">
        <f t="shared" si="122"/>
        <v>4.606483069</v>
      </c>
      <c r="Y106" s="81">
        <f t="shared" si="123"/>
        <v>-103.9274901</v>
      </c>
    </row>
    <row r="107">
      <c r="A107" s="12"/>
      <c r="B107" s="80" t="s">
        <v>122</v>
      </c>
      <c r="C107" s="24">
        <v>31.0</v>
      </c>
      <c r="D107" s="22">
        <v>16.05</v>
      </c>
      <c r="E107" s="23">
        <f t="shared" si="109"/>
        <v>0.66875</v>
      </c>
      <c r="F107" s="22">
        <f t="shared" si="110"/>
        <v>7.95</v>
      </c>
      <c r="G107" s="23">
        <f t="shared" si="111"/>
        <v>0.33125</v>
      </c>
      <c r="H107" s="59">
        <v>0.1449493112</v>
      </c>
      <c r="I107" s="60">
        <f t="shared" si="112"/>
        <v>9142.563745</v>
      </c>
      <c r="J107" s="61">
        <f t="shared" si="113"/>
        <v>18.3751658</v>
      </c>
      <c r="K107" s="25">
        <v>6634.0</v>
      </c>
      <c r="L107" s="62">
        <f t="shared" si="114"/>
        <v>8.916666667</v>
      </c>
      <c r="M107" s="63">
        <f t="shared" si="115"/>
        <v>1</v>
      </c>
      <c r="N107" s="63">
        <f t="shared" si="116"/>
        <v>0.33125</v>
      </c>
      <c r="O107" s="25">
        <f t="shared" si="117"/>
        <v>-2508.563745</v>
      </c>
      <c r="P107" s="25">
        <f t="shared" si="118"/>
        <v>2197.5125</v>
      </c>
      <c r="Q107" s="64">
        <f>C107*'Rate Codes'!$D$7</f>
        <v>53.490035</v>
      </c>
      <c r="R107" s="25">
        <f>P107*'Rate Codes'!$D$8</f>
        <v>28.46437941</v>
      </c>
      <c r="S107" s="81">
        <f t="shared" si="119"/>
        <v>81.95441441</v>
      </c>
      <c r="T107" s="66">
        <f>P107*'Rate Codes'!$D$8</f>
        <v>28.46437941</v>
      </c>
      <c r="U107" s="67">
        <f>(O107)*'Billing Rate'!$B$1</f>
        <v>-170.5823346</v>
      </c>
      <c r="V107" s="25">
        <f t="shared" si="120"/>
        <v>110.4187938</v>
      </c>
      <c r="W107" s="81">
        <f t="shared" si="121"/>
        <v>-60.1635408</v>
      </c>
      <c r="X107" s="25">
        <f t="shared" si="122"/>
        <v>5.520939691</v>
      </c>
      <c r="Y107" s="81">
        <f t="shared" si="123"/>
        <v>-54.64260111</v>
      </c>
    </row>
    <row r="108">
      <c r="A108" s="12"/>
      <c r="B108" s="80" t="s">
        <v>123</v>
      </c>
      <c r="C108" s="24">
        <v>31.0</v>
      </c>
      <c r="D108" s="22">
        <v>14.5167</v>
      </c>
      <c r="E108" s="23">
        <f t="shared" si="109"/>
        <v>0.6048625</v>
      </c>
      <c r="F108" s="22">
        <f t="shared" si="110"/>
        <v>9.4833</v>
      </c>
      <c r="G108" s="23">
        <f t="shared" si="111"/>
        <v>0.3951375</v>
      </c>
      <c r="H108" s="59">
        <v>0.1246952409</v>
      </c>
      <c r="I108" s="60">
        <f t="shared" si="112"/>
        <v>7865.054198</v>
      </c>
      <c r="J108" s="61">
        <f t="shared" si="113"/>
        <v>17.47721078</v>
      </c>
      <c r="K108" s="25">
        <v>5909.0</v>
      </c>
      <c r="L108" s="62">
        <f t="shared" si="114"/>
        <v>7.942204301</v>
      </c>
      <c r="M108" s="63">
        <f t="shared" si="115"/>
        <v>1</v>
      </c>
      <c r="N108" s="63">
        <f t="shared" si="116"/>
        <v>0.3951375</v>
      </c>
      <c r="O108" s="25">
        <f t="shared" si="117"/>
        <v>-1956.054198</v>
      </c>
      <c r="P108" s="25">
        <f t="shared" si="118"/>
        <v>2334.867488</v>
      </c>
      <c r="Q108" s="64">
        <f>C108*'Rate Codes'!$D$7</f>
        <v>53.490035</v>
      </c>
      <c r="R108" s="25">
        <f>P108*'Rate Codes'!$D$8</f>
        <v>30.24353857</v>
      </c>
      <c r="S108" s="81">
        <f t="shared" si="119"/>
        <v>83.73357357</v>
      </c>
      <c r="T108" s="66">
        <f>P108*'Rate Codes'!$D$8</f>
        <v>30.24353857</v>
      </c>
      <c r="U108" s="67">
        <f>(O108)*'Billing Rate'!$B$1</f>
        <v>-133.0116855</v>
      </c>
      <c r="V108" s="25">
        <f t="shared" si="120"/>
        <v>113.9771121</v>
      </c>
      <c r="W108" s="81">
        <f t="shared" si="121"/>
        <v>-19.03457334</v>
      </c>
      <c r="X108" s="25">
        <f t="shared" si="122"/>
        <v>5.698855607</v>
      </c>
      <c r="Y108" s="81">
        <f t="shared" si="123"/>
        <v>-13.33571773</v>
      </c>
    </row>
    <row r="109">
      <c r="A109" s="12"/>
      <c r="B109" s="80" t="s">
        <v>124</v>
      </c>
      <c r="C109" s="24">
        <v>30.0</v>
      </c>
      <c r="D109" s="22">
        <v>12.5833</v>
      </c>
      <c r="E109" s="23">
        <f t="shared" si="109"/>
        <v>0.5243041667</v>
      </c>
      <c r="F109" s="22">
        <f t="shared" si="110"/>
        <v>11.4167</v>
      </c>
      <c r="G109" s="23">
        <f t="shared" si="111"/>
        <v>0.4756958333</v>
      </c>
      <c r="H109" s="59">
        <v>0.09825803101</v>
      </c>
      <c r="I109" s="60">
        <f t="shared" si="112"/>
        <v>6197.547988</v>
      </c>
      <c r="J109" s="61">
        <f t="shared" si="113"/>
        <v>16.41738915</v>
      </c>
      <c r="K109" s="25">
        <v>5270.0</v>
      </c>
      <c r="L109" s="62">
        <f t="shared" si="114"/>
        <v>7.319444444</v>
      </c>
      <c r="M109" s="63">
        <f t="shared" si="115"/>
        <v>1</v>
      </c>
      <c r="N109" s="63">
        <f t="shared" si="116"/>
        <v>0.4756958333</v>
      </c>
      <c r="O109" s="25">
        <f t="shared" si="117"/>
        <v>-927.5479875</v>
      </c>
      <c r="P109" s="25">
        <f t="shared" si="118"/>
        <v>2506.917042</v>
      </c>
      <c r="Q109" s="64">
        <f>C109*'Rate Codes'!$D$7</f>
        <v>51.76455</v>
      </c>
      <c r="R109" s="25">
        <f>P109*'Rate Codes'!$D$8</f>
        <v>32.47209644</v>
      </c>
      <c r="S109" s="81">
        <f t="shared" si="119"/>
        <v>84.23664644</v>
      </c>
      <c r="T109" s="66">
        <f>P109*'Rate Codes'!$D$8</f>
        <v>32.47209644</v>
      </c>
      <c r="U109" s="67">
        <f>(O109)*'Billing Rate'!$B$1</f>
        <v>-63.07326315</v>
      </c>
      <c r="V109" s="25">
        <f t="shared" si="120"/>
        <v>116.7087429</v>
      </c>
      <c r="W109" s="81">
        <f t="shared" si="121"/>
        <v>53.63547973</v>
      </c>
      <c r="X109" s="25">
        <f t="shared" si="122"/>
        <v>5.835437144</v>
      </c>
      <c r="Y109" s="81">
        <f t="shared" si="123"/>
        <v>59.47091687</v>
      </c>
    </row>
    <row r="110">
      <c r="A110" s="12"/>
      <c r="B110" s="80" t="s">
        <v>125</v>
      </c>
      <c r="C110" s="24">
        <v>31.0</v>
      </c>
      <c r="D110" s="22">
        <v>10.5833</v>
      </c>
      <c r="E110" s="23">
        <f t="shared" si="109"/>
        <v>0.4409708333</v>
      </c>
      <c r="F110" s="22">
        <f t="shared" si="110"/>
        <v>13.4167</v>
      </c>
      <c r="G110" s="23">
        <f t="shared" si="111"/>
        <v>0.5590291667</v>
      </c>
      <c r="H110" s="59">
        <v>0.06840443866</v>
      </c>
      <c r="I110" s="60">
        <f t="shared" si="112"/>
        <v>4314.556142</v>
      </c>
      <c r="J110" s="61">
        <f t="shared" si="113"/>
        <v>13.15083484</v>
      </c>
      <c r="K110" s="25">
        <v>5946.0</v>
      </c>
      <c r="L110" s="62">
        <f t="shared" si="114"/>
        <v>7.991935484</v>
      </c>
      <c r="M110" s="63">
        <f t="shared" si="115"/>
        <v>1</v>
      </c>
      <c r="N110" s="63">
        <f t="shared" si="116"/>
        <v>0.5590291667</v>
      </c>
      <c r="O110" s="25">
        <f t="shared" si="117"/>
        <v>1631.443858</v>
      </c>
      <c r="P110" s="25">
        <f t="shared" si="118"/>
        <v>3323.987425</v>
      </c>
      <c r="Q110" s="64">
        <f>C110*'Rate Codes'!$D$7</f>
        <v>53.490035</v>
      </c>
      <c r="R110" s="25">
        <f>P110*'Rate Codes'!$D$8</f>
        <v>43.05560912</v>
      </c>
      <c r="S110" s="81">
        <f t="shared" si="119"/>
        <v>96.54564412</v>
      </c>
      <c r="T110" s="66">
        <f>P110*'Rate Codes'!$D$8</f>
        <v>43.05560912</v>
      </c>
      <c r="U110" s="67">
        <f>(O110)*'Billing Rate'!$B$1</f>
        <v>110.9381824</v>
      </c>
      <c r="V110" s="25">
        <f t="shared" si="120"/>
        <v>139.6012532</v>
      </c>
      <c r="W110" s="81">
        <f t="shared" si="121"/>
        <v>250.5394356</v>
      </c>
      <c r="X110" s="25">
        <f t="shared" si="122"/>
        <v>12.52697178</v>
      </c>
      <c r="Y110" s="81">
        <f t="shared" si="123"/>
        <v>263.0664074</v>
      </c>
    </row>
    <row r="111">
      <c r="A111" s="12"/>
      <c r="B111" s="80" t="s">
        <v>126</v>
      </c>
      <c r="C111" s="24">
        <v>30.0</v>
      </c>
      <c r="D111" s="22">
        <v>8.85</v>
      </c>
      <c r="E111" s="23">
        <f t="shared" si="109"/>
        <v>0.36875</v>
      </c>
      <c r="F111" s="22">
        <f t="shared" si="110"/>
        <v>15.15</v>
      </c>
      <c r="G111" s="23">
        <f t="shared" si="111"/>
        <v>0.63125</v>
      </c>
      <c r="H111" s="59">
        <v>0.0271408052</v>
      </c>
      <c r="I111" s="60">
        <f t="shared" si="112"/>
        <v>1711.884931</v>
      </c>
      <c r="J111" s="61">
        <f t="shared" si="113"/>
        <v>6.447777518</v>
      </c>
      <c r="K111" s="25">
        <v>5587.0</v>
      </c>
      <c r="L111" s="62">
        <f t="shared" si="114"/>
        <v>7.759722222</v>
      </c>
      <c r="M111" s="63">
        <f t="shared" si="115"/>
        <v>0.8309289087</v>
      </c>
      <c r="N111" s="63">
        <f t="shared" si="116"/>
        <v>0.6935949649</v>
      </c>
      <c r="O111" s="25">
        <f t="shared" si="117"/>
        <v>3875.115069</v>
      </c>
      <c r="P111" s="25">
        <f t="shared" si="118"/>
        <v>3875.115069</v>
      </c>
      <c r="Q111" s="64">
        <f>C111*'Rate Codes'!$D$7</f>
        <v>51.76455</v>
      </c>
      <c r="R111" s="25">
        <f>P111*'Rate Codes'!$D$8</f>
        <v>50.19436549</v>
      </c>
      <c r="S111" s="81">
        <f t="shared" si="119"/>
        <v>101.9589155</v>
      </c>
      <c r="T111" s="66">
        <f>P111*'Rate Codes'!$D$8</f>
        <v>50.19436549</v>
      </c>
      <c r="U111" s="67">
        <f>(O111)*'Billing Rate'!$B$1</f>
        <v>263.5078247</v>
      </c>
      <c r="V111" s="25">
        <f t="shared" si="120"/>
        <v>152.153281</v>
      </c>
      <c r="W111" s="81">
        <f t="shared" si="121"/>
        <v>415.6611057</v>
      </c>
      <c r="X111" s="25">
        <f t="shared" si="122"/>
        <v>20.78305528</v>
      </c>
      <c r="Y111" s="81">
        <f t="shared" si="123"/>
        <v>436.4441609</v>
      </c>
    </row>
    <row r="112">
      <c r="A112" s="12"/>
      <c r="B112" s="80" t="s">
        <v>127</v>
      </c>
      <c r="C112" s="24">
        <v>31.0</v>
      </c>
      <c r="D112" s="22">
        <v>7.9667</v>
      </c>
      <c r="E112" s="23">
        <f t="shared" si="109"/>
        <v>0.3319458333</v>
      </c>
      <c r="F112" s="22">
        <f t="shared" si="110"/>
        <v>16.0333</v>
      </c>
      <c r="G112" s="23">
        <f t="shared" si="111"/>
        <v>0.6680541667</v>
      </c>
      <c r="H112" s="59">
        <v>0.01559005293</v>
      </c>
      <c r="I112" s="60">
        <f t="shared" si="112"/>
        <v>983.3303209</v>
      </c>
      <c r="J112" s="61">
        <f t="shared" si="113"/>
        <v>3.981615089</v>
      </c>
      <c r="K112" s="25">
        <v>5490.0</v>
      </c>
      <c r="L112" s="62">
        <f t="shared" si="114"/>
        <v>7.379032258</v>
      </c>
      <c r="M112" s="63">
        <f t="shared" si="115"/>
        <v>0.5395849957</v>
      </c>
      <c r="N112" s="63">
        <f t="shared" si="116"/>
        <v>0.8208870089</v>
      </c>
      <c r="O112" s="25">
        <f t="shared" si="117"/>
        <v>4506.669679</v>
      </c>
      <c r="P112" s="25">
        <f t="shared" si="118"/>
        <v>4506.669679</v>
      </c>
      <c r="Q112" s="64">
        <f>C112*'Rate Codes'!$D$7</f>
        <v>53.490035</v>
      </c>
      <c r="R112" s="25">
        <f>P112*'Rate Codes'!$D$8</f>
        <v>58.37489235</v>
      </c>
      <c r="S112" s="81">
        <f t="shared" si="119"/>
        <v>111.8649274</v>
      </c>
      <c r="T112" s="66">
        <f>P112*'Rate Codes'!$D$8</f>
        <v>58.37489235</v>
      </c>
      <c r="U112" s="67">
        <f>(O112)*'Billing Rate'!$B$1</f>
        <v>306.4535382</v>
      </c>
      <c r="V112" s="25">
        <f t="shared" si="120"/>
        <v>170.2398197</v>
      </c>
      <c r="W112" s="81">
        <f t="shared" si="121"/>
        <v>476.6933579</v>
      </c>
      <c r="X112" s="25">
        <f t="shared" si="122"/>
        <v>23.83466789</v>
      </c>
      <c r="Y112" s="81">
        <f t="shared" si="123"/>
        <v>500.5280258</v>
      </c>
    </row>
    <row r="113">
      <c r="A113" s="12"/>
      <c r="B113" s="77" t="s">
        <v>109</v>
      </c>
      <c r="C113" s="82"/>
      <c r="D113" s="83"/>
      <c r="E113" s="83"/>
      <c r="F113" s="83"/>
      <c r="G113" s="83"/>
      <c r="H113" s="83">
        <f t="shared" ref="H113:I113" si="124">SUM(H101:H112)</f>
        <v>1</v>
      </c>
      <c r="I113" s="84">
        <f t="shared" si="124"/>
        <v>63074.21311</v>
      </c>
      <c r="J113" s="84"/>
      <c r="K113" s="85">
        <f>SUM(K101:K112)</f>
        <v>66307</v>
      </c>
      <c r="L113" s="85"/>
      <c r="M113" s="85"/>
      <c r="N113" s="85"/>
      <c r="O113" s="85">
        <f t="shared" ref="O113:U113" si="125">SUM(O101:O112)</f>
        <v>3232.786891</v>
      </c>
      <c r="P113" s="48">
        <f t="shared" si="125"/>
        <v>34006.99306</v>
      </c>
      <c r="Q113" s="85">
        <f t="shared" si="125"/>
        <v>629.802025</v>
      </c>
      <c r="R113" s="85">
        <f t="shared" si="125"/>
        <v>440.492581</v>
      </c>
      <c r="S113" s="85">
        <f t="shared" si="125"/>
        <v>1070.294606</v>
      </c>
      <c r="T113" s="85">
        <f t="shared" si="125"/>
        <v>440.492581</v>
      </c>
      <c r="U113" s="85">
        <f t="shared" si="125"/>
        <v>219.8295086</v>
      </c>
      <c r="V113" s="48">
        <f t="shared" si="120"/>
        <v>1510.787187</v>
      </c>
      <c r="W113" s="85">
        <f t="shared" ref="W113:Y113" si="126">SUM(W101:W112)</f>
        <v>1730.616696</v>
      </c>
      <c r="X113" s="85">
        <f t="shared" si="126"/>
        <v>131.2347403</v>
      </c>
      <c r="Y113" s="85">
        <f t="shared" si="126"/>
        <v>1861.851436</v>
      </c>
    </row>
    <row r="115">
      <c r="A115" s="76">
        <v>7.0</v>
      </c>
      <c r="B115" s="12" t="s">
        <v>128</v>
      </c>
      <c r="C115" s="12"/>
      <c r="D115" s="15"/>
      <c r="E115" s="15"/>
      <c r="F115" s="15"/>
      <c r="G115" s="15"/>
      <c r="H115" s="15">
        <f>$H$1* POWER((1 -$O$1),A115)</f>
        <v>62758.84204</v>
      </c>
      <c r="I115" s="1" t="s">
        <v>132</v>
      </c>
      <c r="J115" s="1"/>
      <c r="K115" s="8">
        <f>H115/K129</f>
        <v>0.9464889385</v>
      </c>
      <c r="L115" s="8"/>
      <c r="M115" s="8"/>
      <c r="N115" s="8"/>
      <c r="O115" s="1" t="s">
        <v>133</v>
      </c>
      <c r="P115" s="6">
        <f>1-K115</f>
        <v>0.05351106154</v>
      </c>
      <c r="Q115" s="12" t="s">
        <v>74</v>
      </c>
      <c r="T115" s="12" t="s">
        <v>78</v>
      </c>
      <c r="U115" s="12"/>
      <c r="V115" s="12"/>
      <c r="W115" s="12"/>
      <c r="X115" s="12"/>
      <c r="Y115" s="12"/>
    </row>
    <row r="116">
      <c r="A116" s="12"/>
      <c r="B116" s="77" t="s">
        <v>83</v>
      </c>
      <c r="C116" s="20" t="s">
        <v>88</v>
      </c>
      <c r="D116" s="20" t="s">
        <v>84</v>
      </c>
      <c r="E116" s="20" t="s">
        <v>85</v>
      </c>
      <c r="F116" s="20" t="s">
        <v>86</v>
      </c>
      <c r="G116" s="20" t="s">
        <v>87</v>
      </c>
      <c r="H116" s="20" t="s">
        <v>134</v>
      </c>
      <c r="I116" s="44" t="s">
        <v>135</v>
      </c>
      <c r="J116" s="53" t="s">
        <v>92</v>
      </c>
      <c r="K116" s="20" t="s">
        <v>89</v>
      </c>
      <c r="L116" s="53" t="s">
        <v>90</v>
      </c>
      <c r="M116" s="53" t="s">
        <v>136</v>
      </c>
      <c r="N116" s="53" t="s">
        <v>137</v>
      </c>
      <c r="O116" s="20" t="s">
        <v>138</v>
      </c>
      <c r="P116" s="20" t="s">
        <v>139</v>
      </c>
      <c r="Q116" s="78" t="s">
        <v>76</v>
      </c>
      <c r="R116" s="78" t="s">
        <v>82</v>
      </c>
      <c r="S116" s="78" t="s">
        <v>109</v>
      </c>
      <c r="T116" s="78" t="s">
        <v>80</v>
      </c>
      <c r="U116" s="78" t="s">
        <v>67</v>
      </c>
      <c r="V116" s="45" t="s">
        <v>114</v>
      </c>
      <c r="W116" s="79" t="s">
        <v>115</v>
      </c>
      <c r="X116" s="79" t="s">
        <v>60</v>
      </c>
      <c r="Y116" s="79" t="s">
        <v>109</v>
      </c>
    </row>
    <row r="117">
      <c r="A117" s="12"/>
      <c r="B117" s="80" t="s">
        <v>117</v>
      </c>
      <c r="C117" s="24">
        <v>31.0</v>
      </c>
      <c r="D117" s="22">
        <v>8.45</v>
      </c>
      <c r="E117" s="23">
        <f t="shared" ref="E117:E128" si="127">D117/24</f>
        <v>0.3520833333</v>
      </c>
      <c r="F117" s="22">
        <f t="shared" ref="F117:F128" si="128">24-D117</f>
        <v>15.55</v>
      </c>
      <c r="G117" s="23">
        <f t="shared" ref="G117:G128" si="129">F117/24</f>
        <v>0.6479166667</v>
      </c>
      <c r="H117" s="59">
        <v>0.02731296772</v>
      </c>
      <c r="I117" s="60">
        <f t="shared" ref="I117:I128" si="130">H$115*H117</f>
        <v>1714.130227</v>
      </c>
      <c r="J117" s="61">
        <f t="shared" ref="J117:J128" si="131">I117/C117/D117</f>
        <v>6.543730585</v>
      </c>
      <c r="K117" s="25">
        <v>5726.0</v>
      </c>
      <c r="L117" s="62">
        <f t="shared" ref="L117:L128" si="132">K117/C117/24</f>
        <v>7.696236559</v>
      </c>
      <c r="M117" s="63">
        <f t="shared" ref="M117:M128" si="133">IF((J117/L117)&gt;1,1,J117/L117)</f>
        <v>0.8502507083</v>
      </c>
      <c r="N117" s="63">
        <f t="shared" ref="N117:N128" si="134">1-E117*M117</f>
        <v>0.7006408965</v>
      </c>
      <c r="O117" s="25">
        <f t="shared" ref="O117:O128" si="135">K117-I117</f>
        <v>4011.869773</v>
      </c>
      <c r="P117" s="25">
        <f t="shared" ref="P117:P128" si="136">K117*N117</f>
        <v>4011.869773</v>
      </c>
      <c r="Q117" s="64">
        <f>C117*'Rate Codes'!$D$7</f>
        <v>53.490035</v>
      </c>
      <c r="R117" s="25">
        <f>P117*'Rate Codes'!$D$8</f>
        <v>51.96574917</v>
      </c>
      <c r="S117" s="81">
        <f t="shared" ref="S117:S128" si="137">SUM(Q117:R117)</f>
        <v>105.4557842</v>
      </c>
      <c r="T117" s="66">
        <f>P117*'Rate Codes'!$D$8</f>
        <v>51.96574917</v>
      </c>
      <c r="U117" s="67">
        <f>(O117)*'Billing Rate'!$B$1</f>
        <v>272.8071446</v>
      </c>
      <c r="V117" s="25">
        <f t="shared" ref="V117:V129" si="138">S117+T117</f>
        <v>157.4215333</v>
      </c>
      <c r="W117" s="81">
        <f t="shared" ref="W117:W128" si="139">U117+S117+T117</f>
        <v>430.2286779</v>
      </c>
      <c r="X117" s="25">
        <f t="shared" ref="X117:X128" si="140">(IF(U117&gt;0,U117,0)+V117)*0.05</f>
        <v>21.5114339</v>
      </c>
      <c r="Y117" s="81">
        <f t="shared" ref="Y117:Y128" si="141">W117+X117</f>
        <v>451.7401118</v>
      </c>
    </row>
    <row r="118">
      <c r="A118" s="12"/>
      <c r="B118" s="80" t="s">
        <v>118</v>
      </c>
      <c r="C118" s="24">
        <v>28.0</v>
      </c>
      <c r="D118" s="22">
        <v>9.9167</v>
      </c>
      <c r="E118" s="23">
        <f t="shared" si="127"/>
        <v>0.4131958333</v>
      </c>
      <c r="F118" s="22">
        <f t="shared" si="128"/>
        <v>14.0833</v>
      </c>
      <c r="G118" s="23">
        <f t="shared" si="129"/>
        <v>0.5868041667</v>
      </c>
      <c r="H118" s="59">
        <v>0.04620731865</v>
      </c>
      <c r="I118" s="60">
        <f t="shared" si="130"/>
        <v>2899.917812</v>
      </c>
      <c r="J118" s="61">
        <f t="shared" si="131"/>
        <v>10.44384657</v>
      </c>
      <c r="K118" s="25">
        <v>5279.0</v>
      </c>
      <c r="L118" s="62">
        <f t="shared" si="132"/>
        <v>7.855654762</v>
      </c>
      <c r="M118" s="63">
        <f t="shared" si="133"/>
        <v>1</v>
      </c>
      <c r="N118" s="63">
        <f t="shared" si="134"/>
        <v>0.5868041667</v>
      </c>
      <c r="O118" s="25">
        <f t="shared" si="135"/>
        <v>2379.082188</v>
      </c>
      <c r="P118" s="25">
        <f t="shared" si="136"/>
        <v>3097.739196</v>
      </c>
      <c r="Q118" s="64">
        <f>C118*'Rate Codes'!$D$7</f>
        <v>48.31358</v>
      </c>
      <c r="R118" s="25">
        <f>P118*'Rate Codes'!$D$8</f>
        <v>40.1250158</v>
      </c>
      <c r="S118" s="81">
        <f t="shared" si="137"/>
        <v>88.4385958</v>
      </c>
      <c r="T118" s="66">
        <f>P118*'Rate Codes'!$D$8</f>
        <v>40.1250158</v>
      </c>
      <c r="U118" s="67">
        <f>(O118)*'Billing Rate'!$B$1</f>
        <v>161.7775888</v>
      </c>
      <c r="V118" s="25">
        <f t="shared" si="138"/>
        <v>128.5636116</v>
      </c>
      <c r="W118" s="81">
        <f t="shared" si="139"/>
        <v>290.3412004</v>
      </c>
      <c r="X118" s="25">
        <f t="shared" si="140"/>
        <v>14.51706002</v>
      </c>
      <c r="Y118" s="81">
        <f t="shared" si="141"/>
        <v>304.8582604</v>
      </c>
    </row>
    <row r="119">
      <c r="A119" s="12"/>
      <c r="B119" s="80" t="s">
        <v>119</v>
      </c>
      <c r="C119" s="24">
        <v>31.0</v>
      </c>
      <c r="D119" s="22">
        <v>11.8</v>
      </c>
      <c r="E119" s="23">
        <f t="shared" si="127"/>
        <v>0.4916666667</v>
      </c>
      <c r="F119" s="22">
        <f t="shared" si="128"/>
        <v>12.2</v>
      </c>
      <c r="G119" s="23">
        <f t="shared" si="129"/>
        <v>0.5083333333</v>
      </c>
      <c r="H119" s="59">
        <v>0.08500831624</v>
      </c>
      <c r="I119" s="60">
        <f t="shared" si="130"/>
        <v>5335.023491</v>
      </c>
      <c r="J119" s="61">
        <f t="shared" si="131"/>
        <v>14.58453661</v>
      </c>
      <c r="K119" s="25">
        <v>4991.0</v>
      </c>
      <c r="L119" s="62">
        <f t="shared" si="132"/>
        <v>6.708333333</v>
      </c>
      <c r="M119" s="63">
        <f t="shared" si="133"/>
        <v>1</v>
      </c>
      <c r="N119" s="63">
        <f t="shared" si="134"/>
        <v>0.5083333333</v>
      </c>
      <c r="O119" s="25">
        <f t="shared" si="135"/>
        <v>-344.0234912</v>
      </c>
      <c r="P119" s="25">
        <f t="shared" si="136"/>
        <v>2537.091667</v>
      </c>
      <c r="Q119" s="64">
        <f>C119*'Rate Codes'!$D$7</f>
        <v>53.490035</v>
      </c>
      <c r="R119" s="25">
        <f>P119*'Rate Codes'!$D$8</f>
        <v>32.86294836</v>
      </c>
      <c r="S119" s="81">
        <f t="shared" si="137"/>
        <v>86.35298336</v>
      </c>
      <c r="T119" s="66">
        <f>P119*'Rate Codes'!$D$8</f>
        <v>32.86294836</v>
      </c>
      <c r="U119" s="67">
        <f>(O119)*'Billing Rate'!$B$1</f>
        <v>-23.3935974</v>
      </c>
      <c r="V119" s="25">
        <f t="shared" si="138"/>
        <v>119.2159317</v>
      </c>
      <c r="W119" s="81">
        <f t="shared" si="139"/>
        <v>95.82233431</v>
      </c>
      <c r="X119" s="25">
        <f t="shared" si="140"/>
        <v>5.960796586</v>
      </c>
      <c r="Y119" s="81">
        <f t="shared" si="141"/>
        <v>101.7831309</v>
      </c>
    </row>
    <row r="120">
      <c r="A120" s="12"/>
      <c r="B120" s="80" t="s">
        <v>120</v>
      </c>
      <c r="C120" s="24">
        <v>30.0</v>
      </c>
      <c r="D120" s="22">
        <v>13.8</v>
      </c>
      <c r="E120" s="23">
        <f t="shared" si="127"/>
        <v>0.575</v>
      </c>
      <c r="F120" s="22">
        <f t="shared" si="128"/>
        <v>10.2</v>
      </c>
      <c r="G120" s="23">
        <f t="shared" si="129"/>
        <v>0.425</v>
      </c>
      <c r="H120" s="59">
        <v>0.108773175</v>
      </c>
      <c r="I120" s="60">
        <f t="shared" si="130"/>
        <v>6826.478508</v>
      </c>
      <c r="J120" s="61">
        <f t="shared" si="131"/>
        <v>16.48907852</v>
      </c>
      <c r="K120" s="25">
        <v>4952.0</v>
      </c>
      <c r="L120" s="62">
        <f t="shared" si="132"/>
        <v>6.877777778</v>
      </c>
      <c r="M120" s="63">
        <f t="shared" si="133"/>
        <v>1</v>
      </c>
      <c r="N120" s="63">
        <f t="shared" si="134"/>
        <v>0.425</v>
      </c>
      <c r="O120" s="25">
        <f t="shared" si="135"/>
        <v>-1874.478508</v>
      </c>
      <c r="P120" s="25">
        <f t="shared" si="136"/>
        <v>2104.6</v>
      </c>
      <c r="Q120" s="64">
        <f>C120*'Rate Codes'!$D$7</f>
        <v>51.76455</v>
      </c>
      <c r="R120" s="25">
        <f>P120*'Rate Codes'!$D$8</f>
        <v>27.2608838</v>
      </c>
      <c r="S120" s="81">
        <f t="shared" si="137"/>
        <v>79.0254338</v>
      </c>
      <c r="T120" s="66">
        <f>P120*'Rate Codes'!$D$8</f>
        <v>27.2608838</v>
      </c>
      <c r="U120" s="67">
        <f>(O120)*'Billing Rate'!$B$1</f>
        <v>-127.4645386</v>
      </c>
      <c r="V120" s="25">
        <f t="shared" si="138"/>
        <v>106.2863176</v>
      </c>
      <c r="W120" s="81">
        <f t="shared" si="139"/>
        <v>-21.17822096</v>
      </c>
      <c r="X120" s="25">
        <f t="shared" si="140"/>
        <v>5.31431588</v>
      </c>
      <c r="Y120" s="81">
        <f t="shared" si="141"/>
        <v>-15.86390508</v>
      </c>
    </row>
    <row r="121">
      <c r="A121" s="12"/>
      <c r="B121" s="80" t="s">
        <v>98</v>
      </c>
      <c r="C121" s="24">
        <v>31.0</v>
      </c>
      <c r="D121" s="22">
        <v>15.5333</v>
      </c>
      <c r="E121" s="23">
        <f t="shared" si="127"/>
        <v>0.6472208333</v>
      </c>
      <c r="F121" s="22">
        <f t="shared" si="128"/>
        <v>8.4667</v>
      </c>
      <c r="G121" s="23">
        <f t="shared" si="129"/>
        <v>0.3527791667</v>
      </c>
      <c r="H121" s="59">
        <v>0.1281742617</v>
      </c>
      <c r="I121" s="60">
        <f t="shared" si="130"/>
        <v>8044.068244</v>
      </c>
      <c r="J121" s="61">
        <f t="shared" si="131"/>
        <v>16.7051478</v>
      </c>
      <c r="K121" s="25">
        <v>5559.0</v>
      </c>
      <c r="L121" s="62">
        <f t="shared" si="132"/>
        <v>7.471774194</v>
      </c>
      <c r="M121" s="63">
        <f t="shared" si="133"/>
        <v>1</v>
      </c>
      <c r="N121" s="63">
        <f t="shared" si="134"/>
        <v>0.3527791667</v>
      </c>
      <c r="O121" s="25">
        <f t="shared" si="135"/>
        <v>-2485.068244</v>
      </c>
      <c r="P121" s="25">
        <f t="shared" si="136"/>
        <v>1961.099388</v>
      </c>
      <c r="Q121" s="64">
        <f>C121*'Rate Codes'!$D$7</f>
        <v>53.490035</v>
      </c>
      <c r="R121" s="25">
        <f>P121*'Rate Codes'!$D$8</f>
        <v>25.40212037</v>
      </c>
      <c r="S121" s="81">
        <f t="shared" si="137"/>
        <v>78.89215537</v>
      </c>
      <c r="T121" s="66">
        <f>P121*'Rate Codes'!$D$8</f>
        <v>25.40212037</v>
      </c>
      <c r="U121" s="67">
        <f>(O121)*'Billing Rate'!$B$1</f>
        <v>-168.9846406</v>
      </c>
      <c r="V121" s="25">
        <f t="shared" si="138"/>
        <v>104.2942757</v>
      </c>
      <c r="W121" s="81">
        <f t="shared" si="139"/>
        <v>-64.69036486</v>
      </c>
      <c r="X121" s="25">
        <f t="shared" si="140"/>
        <v>5.214713787</v>
      </c>
      <c r="Y121" s="81">
        <f t="shared" si="141"/>
        <v>-59.47565107</v>
      </c>
    </row>
    <row r="122">
      <c r="A122" s="12"/>
      <c r="B122" s="80" t="s">
        <v>121</v>
      </c>
      <c r="C122" s="24">
        <v>30.0</v>
      </c>
      <c r="D122" s="22">
        <v>16.4667</v>
      </c>
      <c r="E122" s="23">
        <f t="shared" si="127"/>
        <v>0.6861125</v>
      </c>
      <c r="F122" s="22">
        <f t="shared" si="128"/>
        <v>7.5333</v>
      </c>
      <c r="G122" s="23">
        <f t="shared" si="129"/>
        <v>0.3138875</v>
      </c>
      <c r="H122" s="59">
        <v>0.1254860808</v>
      </c>
      <c r="I122" s="60">
        <f t="shared" si="130"/>
        <v>7875.361123</v>
      </c>
      <c r="J122" s="61">
        <f t="shared" si="131"/>
        <v>15.94199429</v>
      </c>
      <c r="K122" s="25">
        <v>4964.0</v>
      </c>
      <c r="L122" s="62">
        <f t="shared" si="132"/>
        <v>6.894444444</v>
      </c>
      <c r="M122" s="63">
        <f t="shared" si="133"/>
        <v>1</v>
      </c>
      <c r="N122" s="63">
        <f t="shared" si="134"/>
        <v>0.3138875</v>
      </c>
      <c r="O122" s="25">
        <f t="shared" si="135"/>
        <v>-2911.361123</v>
      </c>
      <c r="P122" s="25">
        <f t="shared" si="136"/>
        <v>1558.13755</v>
      </c>
      <c r="Q122" s="64">
        <f>C122*'Rate Codes'!$D$7</f>
        <v>51.76455</v>
      </c>
      <c r="R122" s="25">
        <f>P122*'Rate Codes'!$D$8</f>
        <v>20.18255569</v>
      </c>
      <c r="S122" s="81">
        <f t="shared" si="137"/>
        <v>71.94710569</v>
      </c>
      <c r="T122" s="66">
        <f>P122*'Rate Codes'!$D$8</f>
        <v>20.18255569</v>
      </c>
      <c r="U122" s="67">
        <f>(O122)*'Billing Rate'!$B$1</f>
        <v>-197.9725564</v>
      </c>
      <c r="V122" s="25">
        <f t="shared" si="138"/>
        <v>92.12966137</v>
      </c>
      <c r="W122" s="81">
        <f t="shared" si="139"/>
        <v>-105.842895</v>
      </c>
      <c r="X122" s="25">
        <f t="shared" si="140"/>
        <v>4.606483069</v>
      </c>
      <c r="Y122" s="81">
        <f t="shared" si="141"/>
        <v>-101.236412</v>
      </c>
    </row>
    <row r="123">
      <c r="A123" s="12"/>
      <c r="B123" s="80" t="s">
        <v>122</v>
      </c>
      <c r="C123" s="24">
        <v>31.0</v>
      </c>
      <c r="D123" s="22">
        <v>16.05</v>
      </c>
      <c r="E123" s="23">
        <f t="shared" si="127"/>
        <v>0.66875</v>
      </c>
      <c r="F123" s="22">
        <f t="shared" si="128"/>
        <v>7.95</v>
      </c>
      <c r="G123" s="23">
        <f t="shared" si="129"/>
        <v>0.33125</v>
      </c>
      <c r="H123" s="59">
        <v>0.1449493112</v>
      </c>
      <c r="I123" s="60">
        <f t="shared" si="130"/>
        <v>9096.850926</v>
      </c>
      <c r="J123" s="61">
        <f t="shared" si="131"/>
        <v>18.28328997</v>
      </c>
      <c r="K123" s="25">
        <v>6634.0</v>
      </c>
      <c r="L123" s="62">
        <f t="shared" si="132"/>
        <v>8.916666667</v>
      </c>
      <c r="M123" s="63">
        <f t="shared" si="133"/>
        <v>1</v>
      </c>
      <c r="N123" s="63">
        <f t="shared" si="134"/>
        <v>0.33125</v>
      </c>
      <c r="O123" s="25">
        <f t="shared" si="135"/>
        <v>-2462.850926</v>
      </c>
      <c r="P123" s="25">
        <f t="shared" si="136"/>
        <v>2197.5125</v>
      </c>
      <c r="Q123" s="64">
        <f>C123*'Rate Codes'!$D$7</f>
        <v>53.490035</v>
      </c>
      <c r="R123" s="25">
        <f>P123*'Rate Codes'!$D$8</f>
        <v>28.46437941</v>
      </c>
      <c r="S123" s="81">
        <f t="shared" si="137"/>
        <v>81.95441441</v>
      </c>
      <c r="T123" s="66">
        <f>P123*'Rate Codes'!$D$8</f>
        <v>28.46437941</v>
      </c>
      <c r="U123" s="67">
        <f>(O123)*'Billing Rate'!$B$1</f>
        <v>-167.473863</v>
      </c>
      <c r="V123" s="25">
        <f t="shared" si="138"/>
        <v>110.4187938</v>
      </c>
      <c r="W123" s="81">
        <f t="shared" si="139"/>
        <v>-57.05506913</v>
      </c>
      <c r="X123" s="25">
        <f t="shared" si="140"/>
        <v>5.520939691</v>
      </c>
      <c r="Y123" s="81">
        <f t="shared" si="141"/>
        <v>-51.53412944</v>
      </c>
    </row>
    <row r="124">
      <c r="A124" s="12"/>
      <c r="B124" s="80" t="s">
        <v>123</v>
      </c>
      <c r="C124" s="24">
        <v>31.0</v>
      </c>
      <c r="D124" s="22">
        <v>14.5167</v>
      </c>
      <c r="E124" s="23">
        <f t="shared" si="127"/>
        <v>0.6048625</v>
      </c>
      <c r="F124" s="22">
        <f t="shared" si="128"/>
        <v>9.4833</v>
      </c>
      <c r="G124" s="23">
        <f t="shared" si="129"/>
        <v>0.3951375</v>
      </c>
      <c r="H124" s="59">
        <v>0.1246952409</v>
      </c>
      <c r="I124" s="60">
        <f t="shared" si="130"/>
        <v>7825.728927</v>
      </c>
      <c r="J124" s="61">
        <f t="shared" si="131"/>
        <v>17.38982473</v>
      </c>
      <c r="K124" s="25">
        <v>5909.0</v>
      </c>
      <c r="L124" s="62">
        <f t="shared" si="132"/>
        <v>7.942204301</v>
      </c>
      <c r="M124" s="63">
        <f t="shared" si="133"/>
        <v>1</v>
      </c>
      <c r="N124" s="63">
        <f t="shared" si="134"/>
        <v>0.3951375</v>
      </c>
      <c r="O124" s="25">
        <f t="shared" si="135"/>
        <v>-1916.728927</v>
      </c>
      <c r="P124" s="25">
        <f t="shared" si="136"/>
        <v>2334.867488</v>
      </c>
      <c r="Q124" s="64">
        <f>C124*'Rate Codes'!$D$7</f>
        <v>53.490035</v>
      </c>
      <c r="R124" s="25">
        <f>P124*'Rate Codes'!$D$8</f>
        <v>30.24353857</v>
      </c>
      <c r="S124" s="81">
        <f t="shared" si="137"/>
        <v>83.73357357</v>
      </c>
      <c r="T124" s="66">
        <f>P124*'Rate Codes'!$D$8</f>
        <v>30.24353857</v>
      </c>
      <c r="U124" s="67">
        <f>(O124)*'Billing Rate'!$B$1</f>
        <v>-130.337567</v>
      </c>
      <c r="V124" s="25">
        <f t="shared" si="138"/>
        <v>113.9771121</v>
      </c>
      <c r="W124" s="81">
        <f t="shared" si="139"/>
        <v>-16.36045491</v>
      </c>
      <c r="X124" s="25">
        <f t="shared" si="140"/>
        <v>5.698855607</v>
      </c>
      <c r="Y124" s="81">
        <f t="shared" si="141"/>
        <v>-10.66159931</v>
      </c>
    </row>
    <row r="125">
      <c r="A125" s="12"/>
      <c r="B125" s="80" t="s">
        <v>124</v>
      </c>
      <c r="C125" s="24">
        <v>30.0</v>
      </c>
      <c r="D125" s="22">
        <v>12.5833</v>
      </c>
      <c r="E125" s="23">
        <f t="shared" si="127"/>
        <v>0.5243041667</v>
      </c>
      <c r="F125" s="22">
        <f t="shared" si="128"/>
        <v>11.4167</v>
      </c>
      <c r="G125" s="23">
        <f t="shared" si="129"/>
        <v>0.4756958333</v>
      </c>
      <c r="H125" s="59">
        <v>0.09825803101</v>
      </c>
      <c r="I125" s="60">
        <f t="shared" si="130"/>
        <v>6166.560248</v>
      </c>
      <c r="J125" s="61">
        <f t="shared" si="131"/>
        <v>16.33530221</v>
      </c>
      <c r="K125" s="25">
        <v>5270.0</v>
      </c>
      <c r="L125" s="62">
        <f t="shared" si="132"/>
        <v>7.319444444</v>
      </c>
      <c r="M125" s="63">
        <f t="shared" si="133"/>
        <v>1</v>
      </c>
      <c r="N125" s="63">
        <f t="shared" si="134"/>
        <v>0.4756958333</v>
      </c>
      <c r="O125" s="25">
        <f t="shared" si="135"/>
        <v>-896.5602476</v>
      </c>
      <c r="P125" s="25">
        <f t="shared" si="136"/>
        <v>2506.917042</v>
      </c>
      <c r="Q125" s="64">
        <f>C125*'Rate Codes'!$D$7</f>
        <v>51.76455</v>
      </c>
      <c r="R125" s="25">
        <f>P125*'Rate Codes'!$D$8</f>
        <v>32.47209644</v>
      </c>
      <c r="S125" s="81">
        <f t="shared" si="137"/>
        <v>84.23664644</v>
      </c>
      <c r="T125" s="66">
        <f>P125*'Rate Codes'!$D$8</f>
        <v>32.47209644</v>
      </c>
      <c r="U125" s="67">
        <f>(O125)*'Billing Rate'!$B$1</f>
        <v>-60.96609684</v>
      </c>
      <c r="V125" s="25">
        <f t="shared" si="138"/>
        <v>116.7087429</v>
      </c>
      <c r="W125" s="81">
        <f t="shared" si="139"/>
        <v>55.74264605</v>
      </c>
      <c r="X125" s="25">
        <f t="shared" si="140"/>
        <v>5.835437144</v>
      </c>
      <c r="Y125" s="81">
        <f t="shared" si="141"/>
        <v>61.57808319</v>
      </c>
    </row>
    <row r="126">
      <c r="A126" s="12"/>
      <c r="B126" s="80" t="s">
        <v>125</v>
      </c>
      <c r="C126" s="24">
        <v>31.0</v>
      </c>
      <c r="D126" s="22">
        <v>10.5833</v>
      </c>
      <c r="E126" s="23">
        <f t="shared" si="127"/>
        <v>0.4409708333</v>
      </c>
      <c r="F126" s="22">
        <f t="shared" si="128"/>
        <v>13.4167</v>
      </c>
      <c r="G126" s="23">
        <f t="shared" si="129"/>
        <v>0.5590291667</v>
      </c>
      <c r="H126" s="59">
        <v>0.06840443866</v>
      </c>
      <c r="I126" s="60">
        <f t="shared" si="130"/>
        <v>4292.983361</v>
      </c>
      <c r="J126" s="61">
        <f t="shared" si="131"/>
        <v>13.08508067</v>
      </c>
      <c r="K126" s="25">
        <v>5946.0</v>
      </c>
      <c r="L126" s="62">
        <f t="shared" si="132"/>
        <v>7.991935484</v>
      </c>
      <c r="M126" s="63">
        <f t="shared" si="133"/>
        <v>1</v>
      </c>
      <c r="N126" s="63">
        <f t="shared" si="134"/>
        <v>0.5590291667</v>
      </c>
      <c r="O126" s="25">
        <f t="shared" si="135"/>
        <v>1653.016639</v>
      </c>
      <c r="P126" s="25">
        <f t="shared" si="136"/>
        <v>3323.987425</v>
      </c>
      <c r="Q126" s="64">
        <f>C126*'Rate Codes'!$D$7</f>
        <v>53.490035</v>
      </c>
      <c r="R126" s="25">
        <f>P126*'Rate Codes'!$D$8</f>
        <v>43.05560912</v>
      </c>
      <c r="S126" s="81">
        <f t="shared" si="137"/>
        <v>96.54564412</v>
      </c>
      <c r="T126" s="66">
        <f>P126*'Rate Codes'!$D$8</f>
        <v>43.05560912</v>
      </c>
      <c r="U126" s="67">
        <f>(O126)*'Billing Rate'!$B$1</f>
        <v>112.4051315</v>
      </c>
      <c r="V126" s="25">
        <f t="shared" si="138"/>
        <v>139.6012532</v>
      </c>
      <c r="W126" s="81">
        <f t="shared" si="139"/>
        <v>252.0063847</v>
      </c>
      <c r="X126" s="25">
        <f t="shared" si="140"/>
        <v>12.60031923</v>
      </c>
      <c r="Y126" s="81">
        <f t="shared" si="141"/>
        <v>264.6067039</v>
      </c>
    </row>
    <row r="127">
      <c r="A127" s="12"/>
      <c r="B127" s="80" t="s">
        <v>126</v>
      </c>
      <c r="C127" s="24">
        <v>30.0</v>
      </c>
      <c r="D127" s="22">
        <v>8.85</v>
      </c>
      <c r="E127" s="23">
        <f t="shared" si="127"/>
        <v>0.36875</v>
      </c>
      <c r="F127" s="22">
        <f t="shared" si="128"/>
        <v>15.15</v>
      </c>
      <c r="G127" s="23">
        <f t="shared" si="129"/>
        <v>0.63125</v>
      </c>
      <c r="H127" s="59">
        <v>0.0271408052</v>
      </c>
      <c r="I127" s="60">
        <f t="shared" si="130"/>
        <v>1703.325506</v>
      </c>
      <c r="J127" s="61">
        <f t="shared" si="131"/>
        <v>6.415538631</v>
      </c>
      <c r="K127" s="25">
        <v>5587.0</v>
      </c>
      <c r="L127" s="62">
        <f t="shared" si="132"/>
        <v>7.759722222</v>
      </c>
      <c r="M127" s="63">
        <f t="shared" si="133"/>
        <v>0.8267742642</v>
      </c>
      <c r="N127" s="63">
        <f t="shared" si="134"/>
        <v>0.6951269901</v>
      </c>
      <c r="O127" s="25">
        <f t="shared" si="135"/>
        <v>3883.674494</v>
      </c>
      <c r="P127" s="25">
        <f t="shared" si="136"/>
        <v>3883.674494</v>
      </c>
      <c r="Q127" s="64">
        <f>C127*'Rate Codes'!$D$7</f>
        <v>51.76455</v>
      </c>
      <c r="R127" s="25">
        <f>P127*'Rate Codes'!$D$8</f>
        <v>50.30523571</v>
      </c>
      <c r="S127" s="81">
        <f t="shared" si="137"/>
        <v>102.0697857</v>
      </c>
      <c r="T127" s="66">
        <f>P127*'Rate Codes'!$D$8</f>
        <v>50.30523571</v>
      </c>
      <c r="U127" s="67">
        <f>(O127)*'Billing Rate'!$B$1</f>
        <v>264.0898656</v>
      </c>
      <c r="V127" s="25">
        <f t="shared" si="138"/>
        <v>152.3750214</v>
      </c>
      <c r="W127" s="81">
        <f t="shared" si="139"/>
        <v>416.464887</v>
      </c>
      <c r="X127" s="25">
        <f t="shared" si="140"/>
        <v>20.82324435</v>
      </c>
      <c r="Y127" s="81">
        <f t="shared" si="141"/>
        <v>437.2881313</v>
      </c>
    </row>
    <row r="128">
      <c r="A128" s="12"/>
      <c r="B128" s="80" t="s">
        <v>127</v>
      </c>
      <c r="C128" s="24">
        <v>31.0</v>
      </c>
      <c r="D128" s="22">
        <v>7.9667</v>
      </c>
      <c r="E128" s="23">
        <f t="shared" si="127"/>
        <v>0.3319458333</v>
      </c>
      <c r="F128" s="22">
        <f t="shared" si="128"/>
        <v>16.0333</v>
      </c>
      <c r="G128" s="23">
        <f t="shared" si="129"/>
        <v>0.6680541667</v>
      </c>
      <c r="H128" s="59">
        <v>0.01559005293</v>
      </c>
      <c r="I128" s="60">
        <f t="shared" si="130"/>
        <v>978.4136693</v>
      </c>
      <c r="J128" s="61">
        <f t="shared" si="131"/>
        <v>3.961707014</v>
      </c>
      <c r="K128" s="25">
        <v>5490.0</v>
      </c>
      <c r="L128" s="62">
        <f t="shared" si="132"/>
        <v>7.379032258</v>
      </c>
      <c r="M128" s="63">
        <f t="shared" si="133"/>
        <v>0.5368870707</v>
      </c>
      <c r="N128" s="63">
        <f t="shared" si="134"/>
        <v>0.8217825739</v>
      </c>
      <c r="O128" s="25">
        <f t="shared" si="135"/>
        <v>4511.586331</v>
      </c>
      <c r="P128" s="25">
        <f t="shared" si="136"/>
        <v>4511.586331</v>
      </c>
      <c r="Q128" s="64">
        <f>C128*'Rate Codes'!$D$7</f>
        <v>53.490035</v>
      </c>
      <c r="R128" s="25">
        <f>P128*'Rate Codes'!$D$8</f>
        <v>58.43857774</v>
      </c>
      <c r="S128" s="81">
        <f t="shared" si="137"/>
        <v>111.9286127</v>
      </c>
      <c r="T128" s="66">
        <f>P128*'Rate Codes'!$D$8</f>
        <v>58.43857774</v>
      </c>
      <c r="U128" s="67">
        <f>(O128)*'Billing Rate'!$B$1</f>
        <v>306.7878705</v>
      </c>
      <c r="V128" s="25">
        <f t="shared" si="138"/>
        <v>170.3671905</v>
      </c>
      <c r="W128" s="81">
        <f t="shared" si="139"/>
        <v>477.155061</v>
      </c>
      <c r="X128" s="25">
        <f t="shared" si="140"/>
        <v>23.85775305</v>
      </c>
      <c r="Y128" s="81">
        <f t="shared" si="141"/>
        <v>501.012814</v>
      </c>
    </row>
    <row r="129">
      <c r="A129" s="12"/>
      <c r="B129" s="77" t="s">
        <v>109</v>
      </c>
      <c r="C129" s="82"/>
      <c r="D129" s="83"/>
      <c r="E129" s="83"/>
      <c r="F129" s="83"/>
      <c r="G129" s="83"/>
      <c r="H129" s="83">
        <f t="shared" ref="H129:I129" si="142">SUM(H117:H128)</f>
        <v>1</v>
      </c>
      <c r="I129" s="84">
        <f t="shared" si="142"/>
        <v>62758.84204</v>
      </c>
      <c r="J129" s="84"/>
      <c r="K129" s="85">
        <f>SUM(K117:K128)</f>
        <v>66307</v>
      </c>
      <c r="L129" s="85"/>
      <c r="M129" s="85"/>
      <c r="N129" s="85"/>
      <c r="O129" s="85">
        <f t="shared" ref="O129:U129" si="143">SUM(O117:O128)</f>
        <v>3548.157957</v>
      </c>
      <c r="P129" s="48">
        <f t="shared" si="143"/>
        <v>34029.08285</v>
      </c>
      <c r="Q129" s="85">
        <f t="shared" si="143"/>
        <v>629.802025</v>
      </c>
      <c r="R129" s="85">
        <f t="shared" si="143"/>
        <v>440.7787102</v>
      </c>
      <c r="S129" s="85">
        <f t="shared" si="143"/>
        <v>1070.580735</v>
      </c>
      <c r="T129" s="85">
        <f t="shared" si="143"/>
        <v>440.7787102</v>
      </c>
      <c r="U129" s="85">
        <f t="shared" si="143"/>
        <v>241.2747411</v>
      </c>
      <c r="V129" s="48">
        <f t="shared" si="138"/>
        <v>1511.359445</v>
      </c>
      <c r="W129" s="85">
        <f t="shared" ref="W129:Y129" si="144">SUM(W117:W128)</f>
        <v>1752.634186</v>
      </c>
      <c r="X129" s="85">
        <f t="shared" si="144"/>
        <v>131.4613523</v>
      </c>
      <c r="Y129" s="85">
        <f t="shared" si="144"/>
        <v>1884.095539</v>
      </c>
    </row>
    <row r="131">
      <c r="A131" s="76">
        <v>8.0</v>
      </c>
      <c r="B131" s="12" t="s">
        <v>128</v>
      </c>
      <c r="C131" s="12"/>
      <c r="D131" s="15"/>
      <c r="E131" s="15"/>
      <c r="F131" s="15"/>
      <c r="G131" s="15"/>
      <c r="H131" s="15">
        <f>$H$1* POWER((1 -$O$1),A131)</f>
        <v>62445.04783</v>
      </c>
      <c r="I131" s="1" t="s">
        <v>132</v>
      </c>
      <c r="J131" s="1"/>
      <c r="K131" s="8">
        <f>H131/K145</f>
        <v>0.9417564938</v>
      </c>
      <c r="L131" s="8"/>
      <c r="M131" s="8"/>
      <c r="N131" s="8"/>
      <c r="O131" s="1" t="s">
        <v>133</v>
      </c>
      <c r="P131" s="6">
        <f>1-K131</f>
        <v>0.05824350623</v>
      </c>
      <c r="Q131" s="12" t="s">
        <v>74</v>
      </c>
      <c r="T131" s="12" t="s">
        <v>78</v>
      </c>
      <c r="U131" s="12"/>
      <c r="V131" s="12"/>
      <c r="W131" s="12"/>
      <c r="X131" s="12"/>
      <c r="Y131" s="12"/>
    </row>
    <row r="132">
      <c r="A132" s="12"/>
      <c r="B132" s="77" t="s">
        <v>83</v>
      </c>
      <c r="C132" s="20" t="s">
        <v>88</v>
      </c>
      <c r="D132" s="20" t="s">
        <v>84</v>
      </c>
      <c r="E132" s="20" t="s">
        <v>85</v>
      </c>
      <c r="F132" s="20" t="s">
        <v>86</v>
      </c>
      <c r="G132" s="20" t="s">
        <v>87</v>
      </c>
      <c r="H132" s="20" t="s">
        <v>134</v>
      </c>
      <c r="I132" s="44" t="s">
        <v>135</v>
      </c>
      <c r="J132" s="53" t="s">
        <v>92</v>
      </c>
      <c r="K132" s="20" t="s">
        <v>89</v>
      </c>
      <c r="L132" s="53" t="s">
        <v>90</v>
      </c>
      <c r="M132" s="53" t="s">
        <v>136</v>
      </c>
      <c r="N132" s="53" t="s">
        <v>137</v>
      </c>
      <c r="O132" s="20" t="s">
        <v>138</v>
      </c>
      <c r="P132" s="20" t="s">
        <v>139</v>
      </c>
      <c r="Q132" s="78" t="s">
        <v>76</v>
      </c>
      <c r="R132" s="78" t="s">
        <v>82</v>
      </c>
      <c r="S132" s="78" t="s">
        <v>109</v>
      </c>
      <c r="T132" s="78" t="s">
        <v>80</v>
      </c>
      <c r="U132" s="78" t="s">
        <v>67</v>
      </c>
      <c r="V132" s="45" t="s">
        <v>114</v>
      </c>
      <c r="W132" s="79" t="s">
        <v>115</v>
      </c>
      <c r="X132" s="79" t="s">
        <v>60</v>
      </c>
      <c r="Y132" s="79" t="s">
        <v>109</v>
      </c>
    </row>
    <row r="133">
      <c r="A133" s="12"/>
      <c r="B133" s="80" t="s">
        <v>117</v>
      </c>
      <c r="C133" s="24">
        <v>31.0</v>
      </c>
      <c r="D133" s="22">
        <v>8.45</v>
      </c>
      <c r="E133" s="23">
        <f t="shared" ref="E133:E144" si="145">D133/24</f>
        <v>0.3520833333</v>
      </c>
      <c r="F133" s="22">
        <f t="shared" ref="F133:F144" si="146">24-D133</f>
        <v>15.55</v>
      </c>
      <c r="G133" s="23">
        <f t="shared" ref="G133:G144" si="147">F133/24</f>
        <v>0.6479166667</v>
      </c>
      <c r="H133" s="59">
        <v>0.02731296772</v>
      </c>
      <c r="I133" s="60">
        <f t="shared" ref="I133:I144" si="148">H$131*H133</f>
        <v>1705.559576</v>
      </c>
      <c r="J133" s="61">
        <f t="shared" ref="J133:J144" si="149">I133/C133/D133</f>
        <v>6.511011933</v>
      </c>
      <c r="K133" s="25">
        <v>5726.0</v>
      </c>
      <c r="L133" s="62">
        <f t="shared" ref="L133:L144" si="150">K133/C133/24</f>
        <v>7.696236559</v>
      </c>
      <c r="M133" s="63">
        <f t="shared" ref="M133:M144" si="151">IF((J133/L133)&gt;1,1,J133/L133)</f>
        <v>0.8459994547</v>
      </c>
      <c r="N133" s="63">
        <f t="shared" ref="N133:N144" si="152">1-E133*M133</f>
        <v>0.702137692</v>
      </c>
      <c r="O133" s="25">
        <f t="shared" ref="O133:O144" si="153">K133-I133</f>
        <v>4020.440424</v>
      </c>
      <c r="P133" s="25">
        <f t="shared" ref="P133:P144" si="154">K133*N133</f>
        <v>4020.440424</v>
      </c>
      <c r="Q133" s="64">
        <f>C133*'Rate Codes'!$D$7</f>
        <v>53.490035</v>
      </c>
      <c r="R133" s="25">
        <f>P133*'Rate Codes'!$D$8</f>
        <v>52.07676482</v>
      </c>
      <c r="S133" s="81">
        <f t="shared" ref="S133:S144" si="155">SUM(Q133:R133)</f>
        <v>105.5667998</v>
      </c>
      <c r="T133" s="66">
        <f>P133*'Rate Codes'!$D$8</f>
        <v>52.07676482</v>
      </c>
      <c r="U133" s="67">
        <f>(O133)*'Billing Rate'!$B$1</f>
        <v>273.3899489</v>
      </c>
      <c r="V133" s="25">
        <f t="shared" ref="V133:V145" si="156">S133+T133</f>
        <v>157.6435646</v>
      </c>
      <c r="W133" s="81">
        <f t="shared" ref="W133:W144" si="157">U133+S133+T133</f>
        <v>431.0335135</v>
      </c>
      <c r="X133" s="25">
        <f t="shared" ref="X133:X144" si="158">(IF(U133&gt;0,U133,0)+V133)*0.05</f>
        <v>21.55167567</v>
      </c>
      <c r="Y133" s="81">
        <f t="shared" ref="Y133:Y144" si="159">W133+X133</f>
        <v>452.5851892</v>
      </c>
    </row>
    <row r="134">
      <c r="A134" s="12"/>
      <c r="B134" s="80" t="s">
        <v>118</v>
      </c>
      <c r="C134" s="24">
        <v>28.0</v>
      </c>
      <c r="D134" s="22">
        <v>9.9167</v>
      </c>
      <c r="E134" s="23">
        <f t="shared" si="145"/>
        <v>0.4131958333</v>
      </c>
      <c r="F134" s="22">
        <f t="shared" si="146"/>
        <v>14.0833</v>
      </c>
      <c r="G134" s="23">
        <f t="shared" si="147"/>
        <v>0.5868041667</v>
      </c>
      <c r="H134" s="59">
        <v>0.04620731865</v>
      </c>
      <c r="I134" s="60">
        <f t="shared" si="148"/>
        <v>2885.418223</v>
      </c>
      <c r="J134" s="61">
        <f t="shared" si="149"/>
        <v>10.39162734</v>
      </c>
      <c r="K134" s="25">
        <v>5279.0</v>
      </c>
      <c r="L134" s="62">
        <f t="shared" si="150"/>
        <v>7.855654762</v>
      </c>
      <c r="M134" s="63">
        <f t="shared" si="151"/>
        <v>1</v>
      </c>
      <c r="N134" s="63">
        <f t="shared" si="152"/>
        <v>0.5868041667</v>
      </c>
      <c r="O134" s="25">
        <f t="shared" si="153"/>
        <v>2393.581777</v>
      </c>
      <c r="P134" s="25">
        <f t="shared" si="154"/>
        <v>3097.739196</v>
      </c>
      <c r="Q134" s="64">
        <f>C134*'Rate Codes'!$D$7</f>
        <v>48.31358</v>
      </c>
      <c r="R134" s="25">
        <f>P134*'Rate Codes'!$D$8</f>
        <v>40.1250158</v>
      </c>
      <c r="S134" s="81">
        <f t="shared" si="155"/>
        <v>88.4385958</v>
      </c>
      <c r="T134" s="66">
        <f>P134*'Rate Codes'!$D$8</f>
        <v>40.1250158</v>
      </c>
      <c r="U134" s="67">
        <f>(O134)*'Billing Rate'!$B$1</f>
        <v>162.7635608</v>
      </c>
      <c r="V134" s="25">
        <f t="shared" si="156"/>
        <v>128.5636116</v>
      </c>
      <c r="W134" s="81">
        <f t="shared" si="157"/>
        <v>291.3271724</v>
      </c>
      <c r="X134" s="25">
        <f t="shared" si="158"/>
        <v>14.56635862</v>
      </c>
      <c r="Y134" s="81">
        <f t="shared" si="159"/>
        <v>305.893531</v>
      </c>
    </row>
    <row r="135">
      <c r="A135" s="12"/>
      <c r="B135" s="80" t="s">
        <v>119</v>
      </c>
      <c r="C135" s="24">
        <v>31.0</v>
      </c>
      <c r="D135" s="22">
        <v>11.8</v>
      </c>
      <c r="E135" s="23">
        <f t="shared" si="145"/>
        <v>0.4916666667</v>
      </c>
      <c r="F135" s="22">
        <f t="shared" si="146"/>
        <v>12.2</v>
      </c>
      <c r="G135" s="23">
        <f t="shared" si="147"/>
        <v>0.5083333333</v>
      </c>
      <c r="H135" s="59">
        <v>0.08500831624</v>
      </c>
      <c r="I135" s="60">
        <f t="shared" si="148"/>
        <v>5308.348374</v>
      </c>
      <c r="J135" s="61">
        <f t="shared" si="149"/>
        <v>14.51161392</v>
      </c>
      <c r="K135" s="25">
        <v>4991.0</v>
      </c>
      <c r="L135" s="62">
        <f t="shared" si="150"/>
        <v>6.708333333</v>
      </c>
      <c r="M135" s="63">
        <f t="shared" si="151"/>
        <v>1</v>
      </c>
      <c r="N135" s="63">
        <f t="shared" si="152"/>
        <v>0.5083333333</v>
      </c>
      <c r="O135" s="25">
        <f t="shared" si="153"/>
        <v>-317.3483738</v>
      </c>
      <c r="P135" s="25">
        <f t="shared" si="154"/>
        <v>2537.091667</v>
      </c>
      <c r="Q135" s="64">
        <f>C135*'Rate Codes'!$D$7</f>
        <v>53.490035</v>
      </c>
      <c r="R135" s="25">
        <f>P135*'Rate Codes'!$D$8</f>
        <v>32.86294836</v>
      </c>
      <c r="S135" s="81">
        <f t="shared" si="155"/>
        <v>86.35298336</v>
      </c>
      <c r="T135" s="66">
        <f>P135*'Rate Codes'!$D$8</f>
        <v>32.86294836</v>
      </c>
      <c r="U135" s="67">
        <f>(O135)*'Billing Rate'!$B$1</f>
        <v>-21.57968942</v>
      </c>
      <c r="V135" s="25">
        <f t="shared" si="156"/>
        <v>119.2159317</v>
      </c>
      <c r="W135" s="81">
        <f t="shared" si="157"/>
        <v>97.6362423</v>
      </c>
      <c r="X135" s="25">
        <f t="shared" si="158"/>
        <v>5.960796586</v>
      </c>
      <c r="Y135" s="81">
        <f t="shared" si="159"/>
        <v>103.5970389</v>
      </c>
    </row>
    <row r="136">
      <c r="A136" s="12"/>
      <c r="B136" s="80" t="s">
        <v>120</v>
      </c>
      <c r="C136" s="24">
        <v>30.0</v>
      </c>
      <c r="D136" s="22">
        <v>13.8</v>
      </c>
      <c r="E136" s="23">
        <f t="shared" si="145"/>
        <v>0.575</v>
      </c>
      <c r="F136" s="22">
        <f t="shared" si="146"/>
        <v>10.2</v>
      </c>
      <c r="G136" s="23">
        <f t="shared" si="147"/>
        <v>0.425</v>
      </c>
      <c r="H136" s="59">
        <v>0.108773175</v>
      </c>
      <c r="I136" s="60">
        <f t="shared" si="148"/>
        <v>6792.346116</v>
      </c>
      <c r="J136" s="61">
        <f t="shared" si="149"/>
        <v>16.40663313</v>
      </c>
      <c r="K136" s="25">
        <v>4952.0</v>
      </c>
      <c r="L136" s="62">
        <f t="shared" si="150"/>
        <v>6.877777778</v>
      </c>
      <c r="M136" s="63">
        <f t="shared" si="151"/>
        <v>1</v>
      </c>
      <c r="N136" s="63">
        <f t="shared" si="152"/>
        <v>0.425</v>
      </c>
      <c r="O136" s="25">
        <f t="shared" si="153"/>
        <v>-1840.346116</v>
      </c>
      <c r="P136" s="25">
        <f t="shared" si="154"/>
        <v>2104.6</v>
      </c>
      <c r="Q136" s="64">
        <f>C136*'Rate Codes'!$D$7</f>
        <v>51.76455</v>
      </c>
      <c r="R136" s="25">
        <f>P136*'Rate Codes'!$D$8</f>
        <v>27.2608838</v>
      </c>
      <c r="S136" s="81">
        <f t="shared" si="155"/>
        <v>79.0254338</v>
      </c>
      <c r="T136" s="66">
        <f>P136*'Rate Codes'!$D$8</f>
        <v>27.2608838</v>
      </c>
      <c r="U136" s="67">
        <f>(O136)*'Billing Rate'!$B$1</f>
        <v>-125.1435359</v>
      </c>
      <c r="V136" s="25">
        <f t="shared" si="156"/>
        <v>106.2863176</v>
      </c>
      <c r="W136" s="81">
        <f t="shared" si="157"/>
        <v>-18.85721827</v>
      </c>
      <c r="X136" s="25">
        <f t="shared" si="158"/>
        <v>5.31431588</v>
      </c>
      <c r="Y136" s="81">
        <f t="shared" si="159"/>
        <v>-13.54290239</v>
      </c>
    </row>
    <row r="137">
      <c r="A137" s="12"/>
      <c r="B137" s="80" t="s">
        <v>98</v>
      </c>
      <c r="C137" s="24">
        <v>31.0</v>
      </c>
      <c r="D137" s="22">
        <v>15.5333</v>
      </c>
      <c r="E137" s="23">
        <f t="shared" si="145"/>
        <v>0.6472208333</v>
      </c>
      <c r="F137" s="22">
        <f t="shared" si="146"/>
        <v>8.4667</v>
      </c>
      <c r="G137" s="23">
        <f t="shared" si="147"/>
        <v>0.3527791667</v>
      </c>
      <c r="H137" s="59">
        <v>0.1281742617</v>
      </c>
      <c r="I137" s="60">
        <f t="shared" si="148"/>
        <v>8003.847903</v>
      </c>
      <c r="J137" s="61">
        <f t="shared" si="149"/>
        <v>16.62162207</v>
      </c>
      <c r="K137" s="25">
        <v>5559.0</v>
      </c>
      <c r="L137" s="62">
        <f t="shared" si="150"/>
        <v>7.471774194</v>
      </c>
      <c r="M137" s="63">
        <f t="shared" si="151"/>
        <v>1</v>
      </c>
      <c r="N137" s="63">
        <f t="shared" si="152"/>
        <v>0.3527791667</v>
      </c>
      <c r="O137" s="25">
        <f t="shared" si="153"/>
        <v>-2444.847903</v>
      </c>
      <c r="P137" s="25">
        <f t="shared" si="154"/>
        <v>1961.099388</v>
      </c>
      <c r="Q137" s="64">
        <f>C137*'Rate Codes'!$D$7</f>
        <v>53.490035</v>
      </c>
      <c r="R137" s="25">
        <f>P137*'Rate Codes'!$D$8</f>
        <v>25.40212037</v>
      </c>
      <c r="S137" s="81">
        <f t="shared" si="155"/>
        <v>78.89215537</v>
      </c>
      <c r="T137" s="66">
        <f>P137*'Rate Codes'!$D$8</f>
        <v>25.40212037</v>
      </c>
      <c r="U137" s="67">
        <f>(O137)*'Billing Rate'!$B$1</f>
        <v>-166.2496574</v>
      </c>
      <c r="V137" s="25">
        <f t="shared" si="156"/>
        <v>104.2942757</v>
      </c>
      <c r="W137" s="81">
        <f t="shared" si="157"/>
        <v>-61.95538165</v>
      </c>
      <c r="X137" s="25">
        <f t="shared" si="158"/>
        <v>5.214713787</v>
      </c>
      <c r="Y137" s="81">
        <f t="shared" si="159"/>
        <v>-56.74066787</v>
      </c>
    </row>
    <row r="138">
      <c r="A138" s="12"/>
      <c r="B138" s="80" t="s">
        <v>121</v>
      </c>
      <c r="C138" s="24">
        <v>30.0</v>
      </c>
      <c r="D138" s="22">
        <v>16.4667</v>
      </c>
      <c r="E138" s="23">
        <f t="shared" si="145"/>
        <v>0.6861125</v>
      </c>
      <c r="F138" s="22">
        <f t="shared" si="146"/>
        <v>7.5333</v>
      </c>
      <c r="G138" s="23">
        <f t="shared" si="147"/>
        <v>0.3138875</v>
      </c>
      <c r="H138" s="59">
        <v>0.1254860808</v>
      </c>
      <c r="I138" s="60">
        <f t="shared" si="148"/>
        <v>7835.984318</v>
      </c>
      <c r="J138" s="61">
        <f t="shared" si="149"/>
        <v>15.86228432</v>
      </c>
      <c r="K138" s="25">
        <v>4964.0</v>
      </c>
      <c r="L138" s="62">
        <f t="shared" si="150"/>
        <v>6.894444444</v>
      </c>
      <c r="M138" s="63">
        <f t="shared" si="151"/>
        <v>1</v>
      </c>
      <c r="N138" s="63">
        <f t="shared" si="152"/>
        <v>0.3138875</v>
      </c>
      <c r="O138" s="25">
        <f t="shared" si="153"/>
        <v>-2871.984318</v>
      </c>
      <c r="P138" s="25">
        <f t="shared" si="154"/>
        <v>1558.13755</v>
      </c>
      <c r="Q138" s="64">
        <f>C138*'Rate Codes'!$D$7</f>
        <v>51.76455</v>
      </c>
      <c r="R138" s="25">
        <f>P138*'Rate Codes'!$D$8</f>
        <v>20.18255569</v>
      </c>
      <c r="S138" s="81">
        <f t="shared" si="155"/>
        <v>71.94710569</v>
      </c>
      <c r="T138" s="66">
        <f>P138*'Rate Codes'!$D$8</f>
        <v>20.18255569</v>
      </c>
      <c r="U138" s="67">
        <f>(O138)*'Billing Rate'!$B$1</f>
        <v>-195.2949336</v>
      </c>
      <c r="V138" s="25">
        <f t="shared" si="156"/>
        <v>92.12966137</v>
      </c>
      <c r="W138" s="81">
        <f t="shared" si="157"/>
        <v>-103.1652722</v>
      </c>
      <c r="X138" s="25">
        <f t="shared" si="158"/>
        <v>4.606483069</v>
      </c>
      <c r="Y138" s="81">
        <f t="shared" si="159"/>
        <v>-98.55878918</v>
      </c>
    </row>
    <row r="139">
      <c r="A139" s="12"/>
      <c r="B139" s="80" t="s">
        <v>122</v>
      </c>
      <c r="C139" s="24">
        <v>31.0</v>
      </c>
      <c r="D139" s="22">
        <v>16.05</v>
      </c>
      <c r="E139" s="23">
        <f t="shared" si="145"/>
        <v>0.66875</v>
      </c>
      <c r="F139" s="22">
        <f t="shared" si="146"/>
        <v>7.95</v>
      </c>
      <c r="G139" s="23">
        <f t="shared" si="147"/>
        <v>0.33125</v>
      </c>
      <c r="H139" s="59">
        <v>0.1449493112</v>
      </c>
      <c r="I139" s="60">
        <f t="shared" si="148"/>
        <v>9051.366671</v>
      </c>
      <c r="J139" s="61">
        <f t="shared" si="149"/>
        <v>18.19187352</v>
      </c>
      <c r="K139" s="25">
        <v>6634.0</v>
      </c>
      <c r="L139" s="62">
        <f t="shared" si="150"/>
        <v>8.916666667</v>
      </c>
      <c r="M139" s="63">
        <f t="shared" si="151"/>
        <v>1</v>
      </c>
      <c r="N139" s="63">
        <f t="shared" si="152"/>
        <v>0.33125</v>
      </c>
      <c r="O139" s="25">
        <f t="shared" si="153"/>
        <v>-2417.366671</v>
      </c>
      <c r="P139" s="25">
        <f t="shared" si="154"/>
        <v>2197.5125</v>
      </c>
      <c r="Q139" s="64">
        <f>C139*'Rate Codes'!$D$7</f>
        <v>53.490035</v>
      </c>
      <c r="R139" s="25">
        <f>P139*'Rate Codes'!$D$8</f>
        <v>28.46437941</v>
      </c>
      <c r="S139" s="81">
        <f t="shared" si="155"/>
        <v>81.95441441</v>
      </c>
      <c r="T139" s="66">
        <f>P139*'Rate Codes'!$D$8</f>
        <v>28.46437941</v>
      </c>
      <c r="U139" s="67">
        <f>(O139)*'Billing Rate'!$B$1</f>
        <v>-164.3809336</v>
      </c>
      <c r="V139" s="25">
        <f t="shared" si="156"/>
        <v>110.4187938</v>
      </c>
      <c r="W139" s="81">
        <f t="shared" si="157"/>
        <v>-53.96213981</v>
      </c>
      <c r="X139" s="25">
        <f t="shared" si="158"/>
        <v>5.520939691</v>
      </c>
      <c r="Y139" s="81">
        <f t="shared" si="159"/>
        <v>-48.44120012</v>
      </c>
    </row>
    <row r="140">
      <c r="A140" s="12"/>
      <c r="B140" s="80" t="s">
        <v>123</v>
      </c>
      <c r="C140" s="24">
        <v>31.0</v>
      </c>
      <c r="D140" s="22">
        <v>14.5167</v>
      </c>
      <c r="E140" s="23">
        <f t="shared" si="145"/>
        <v>0.6048625</v>
      </c>
      <c r="F140" s="22">
        <f t="shared" si="146"/>
        <v>9.4833</v>
      </c>
      <c r="G140" s="23">
        <f t="shared" si="147"/>
        <v>0.3951375</v>
      </c>
      <c r="H140" s="59">
        <v>0.1246952409</v>
      </c>
      <c r="I140" s="60">
        <f t="shared" si="148"/>
        <v>7786.600282</v>
      </c>
      <c r="J140" s="61">
        <f t="shared" si="149"/>
        <v>17.3028756</v>
      </c>
      <c r="K140" s="25">
        <v>5909.0</v>
      </c>
      <c r="L140" s="62">
        <f t="shared" si="150"/>
        <v>7.942204301</v>
      </c>
      <c r="M140" s="63">
        <f t="shared" si="151"/>
        <v>1</v>
      </c>
      <c r="N140" s="63">
        <f t="shared" si="152"/>
        <v>0.3951375</v>
      </c>
      <c r="O140" s="25">
        <f t="shared" si="153"/>
        <v>-1877.600282</v>
      </c>
      <c r="P140" s="25">
        <f t="shared" si="154"/>
        <v>2334.867488</v>
      </c>
      <c r="Q140" s="64">
        <f>C140*'Rate Codes'!$D$7</f>
        <v>53.490035</v>
      </c>
      <c r="R140" s="25">
        <f>P140*'Rate Codes'!$D$8</f>
        <v>30.24353857</v>
      </c>
      <c r="S140" s="81">
        <f t="shared" si="155"/>
        <v>83.73357357</v>
      </c>
      <c r="T140" s="66">
        <f>P140*'Rate Codes'!$D$8</f>
        <v>30.24353857</v>
      </c>
      <c r="U140" s="67">
        <f>(O140)*'Billing Rate'!$B$1</f>
        <v>-127.6768192</v>
      </c>
      <c r="V140" s="25">
        <f t="shared" si="156"/>
        <v>113.9771121</v>
      </c>
      <c r="W140" s="81">
        <f t="shared" si="157"/>
        <v>-13.69970708</v>
      </c>
      <c r="X140" s="25">
        <f t="shared" si="158"/>
        <v>5.698855607</v>
      </c>
      <c r="Y140" s="81">
        <f t="shared" si="159"/>
        <v>-8.00085147</v>
      </c>
    </row>
    <row r="141">
      <c r="A141" s="12"/>
      <c r="B141" s="80" t="s">
        <v>124</v>
      </c>
      <c r="C141" s="24">
        <v>30.0</v>
      </c>
      <c r="D141" s="22">
        <v>12.5833</v>
      </c>
      <c r="E141" s="23">
        <f t="shared" si="145"/>
        <v>0.5243041667</v>
      </c>
      <c r="F141" s="22">
        <f t="shared" si="146"/>
        <v>11.4167</v>
      </c>
      <c r="G141" s="23">
        <f t="shared" si="147"/>
        <v>0.4756958333</v>
      </c>
      <c r="H141" s="59">
        <v>0.09825803101</v>
      </c>
      <c r="I141" s="60">
        <f t="shared" si="148"/>
        <v>6135.727446</v>
      </c>
      <c r="J141" s="61">
        <f t="shared" si="149"/>
        <v>16.2536257</v>
      </c>
      <c r="K141" s="25">
        <v>5270.0</v>
      </c>
      <c r="L141" s="62">
        <f t="shared" si="150"/>
        <v>7.319444444</v>
      </c>
      <c r="M141" s="63">
        <f t="shared" si="151"/>
        <v>1</v>
      </c>
      <c r="N141" s="63">
        <f t="shared" si="152"/>
        <v>0.4756958333</v>
      </c>
      <c r="O141" s="25">
        <f t="shared" si="153"/>
        <v>-865.7274463</v>
      </c>
      <c r="P141" s="25">
        <f t="shared" si="154"/>
        <v>2506.917042</v>
      </c>
      <c r="Q141" s="64">
        <f>C141*'Rate Codes'!$D$7</f>
        <v>51.76455</v>
      </c>
      <c r="R141" s="25">
        <f>P141*'Rate Codes'!$D$8</f>
        <v>32.47209644</v>
      </c>
      <c r="S141" s="81">
        <f t="shared" si="155"/>
        <v>84.23664644</v>
      </c>
      <c r="T141" s="66">
        <f>P141*'Rate Codes'!$D$8</f>
        <v>32.47209644</v>
      </c>
      <c r="U141" s="67">
        <f>(O141)*'Billing Rate'!$B$1</f>
        <v>-58.86946635</v>
      </c>
      <c r="V141" s="25">
        <f t="shared" si="156"/>
        <v>116.7087429</v>
      </c>
      <c r="W141" s="81">
        <f t="shared" si="157"/>
        <v>57.83927653</v>
      </c>
      <c r="X141" s="25">
        <f t="shared" si="158"/>
        <v>5.835437144</v>
      </c>
      <c r="Y141" s="81">
        <f t="shared" si="159"/>
        <v>63.67471367</v>
      </c>
    </row>
    <row r="142">
      <c r="A142" s="12"/>
      <c r="B142" s="80" t="s">
        <v>125</v>
      </c>
      <c r="C142" s="24">
        <v>31.0</v>
      </c>
      <c r="D142" s="22">
        <v>10.5833</v>
      </c>
      <c r="E142" s="23">
        <f t="shared" si="145"/>
        <v>0.4409708333</v>
      </c>
      <c r="F142" s="22">
        <f t="shared" si="146"/>
        <v>13.4167</v>
      </c>
      <c r="G142" s="23">
        <f t="shared" si="147"/>
        <v>0.5590291667</v>
      </c>
      <c r="H142" s="59">
        <v>0.06840443866</v>
      </c>
      <c r="I142" s="60">
        <f t="shared" si="148"/>
        <v>4271.518444</v>
      </c>
      <c r="J142" s="61">
        <f t="shared" si="149"/>
        <v>13.01965526</v>
      </c>
      <c r="K142" s="25">
        <v>5946.0</v>
      </c>
      <c r="L142" s="62">
        <f t="shared" si="150"/>
        <v>7.991935484</v>
      </c>
      <c r="M142" s="63">
        <f t="shared" si="151"/>
        <v>1</v>
      </c>
      <c r="N142" s="63">
        <f t="shared" si="152"/>
        <v>0.5590291667</v>
      </c>
      <c r="O142" s="25">
        <f t="shared" si="153"/>
        <v>1674.481556</v>
      </c>
      <c r="P142" s="25">
        <f t="shared" si="154"/>
        <v>3323.987425</v>
      </c>
      <c r="Q142" s="64">
        <f>C142*'Rate Codes'!$D$7</f>
        <v>53.490035</v>
      </c>
      <c r="R142" s="25">
        <f>P142*'Rate Codes'!$D$8</f>
        <v>43.05560912</v>
      </c>
      <c r="S142" s="81">
        <f t="shared" si="155"/>
        <v>96.54564412</v>
      </c>
      <c r="T142" s="66">
        <f>P142*'Rate Codes'!$D$8</f>
        <v>43.05560912</v>
      </c>
      <c r="U142" s="67">
        <f>(O142)*'Billing Rate'!$B$1</f>
        <v>113.8647458</v>
      </c>
      <c r="V142" s="25">
        <f t="shared" si="156"/>
        <v>139.6012532</v>
      </c>
      <c r="W142" s="81">
        <f t="shared" si="157"/>
        <v>253.465999</v>
      </c>
      <c r="X142" s="25">
        <f t="shared" si="158"/>
        <v>12.67329995</v>
      </c>
      <c r="Y142" s="81">
        <f t="shared" si="159"/>
        <v>266.139299</v>
      </c>
    </row>
    <row r="143">
      <c r="A143" s="12"/>
      <c r="B143" s="80" t="s">
        <v>126</v>
      </c>
      <c r="C143" s="24">
        <v>30.0</v>
      </c>
      <c r="D143" s="22">
        <v>8.85</v>
      </c>
      <c r="E143" s="23">
        <f t="shared" si="145"/>
        <v>0.36875</v>
      </c>
      <c r="F143" s="22">
        <f t="shared" si="146"/>
        <v>15.15</v>
      </c>
      <c r="G143" s="23">
        <f t="shared" si="147"/>
        <v>0.63125</v>
      </c>
      <c r="H143" s="59">
        <v>0.0271408052</v>
      </c>
      <c r="I143" s="60">
        <f t="shared" si="148"/>
        <v>1694.808879</v>
      </c>
      <c r="J143" s="61">
        <f t="shared" si="149"/>
        <v>6.383460938</v>
      </c>
      <c r="K143" s="25">
        <v>5587.0</v>
      </c>
      <c r="L143" s="62">
        <f t="shared" si="150"/>
        <v>7.759722222</v>
      </c>
      <c r="M143" s="63">
        <f t="shared" si="151"/>
        <v>0.8226403929</v>
      </c>
      <c r="N143" s="63">
        <f t="shared" si="152"/>
        <v>0.6966513551</v>
      </c>
      <c r="O143" s="25">
        <f t="shared" si="153"/>
        <v>3892.191121</v>
      </c>
      <c r="P143" s="25">
        <f t="shared" si="154"/>
        <v>3892.191121</v>
      </c>
      <c r="Q143" s="64">
        <f>C143*'Rate Codes'!$D$7</f>
        <v>51.76455</v>
      </c>
      <c r="R143" s="25">
        <f>P143*'Rate Codes'!$D$8</f>
        <v>50.41555159</v>
      </c>
      <c r="S143" s="81">
        <f t="shared" si="155"/>
        <v>102.1801016</v>
      </c>
      <c r="T143" s="66">
        <f>P143*'Rate Codes'!$D$8</f>
        <v>50.41555159</v>
      </c>
      <c r="U143" s="67">
        <f>(O143)*'Billing Rate'!$B$1</f>
        <v>264.6689962</v>
      </c>
      <c r="V143" s="25">
        <f t="shared" si="156"/>
        <v>152.5956532</v>
      </c>
      <c r="W143" s="81">
        <f t="shared" si="157"/>
        <v>417.2646494</v>
      </c>
      <c r="X143" s="25">
        <f t="shared" si="158"/>
        <v>20.86323247</v>
      </c>
      <c r="Y143" s="81">
        <f t="shared" si="159"/>
        <v>438.1278819</v>
      </c>
    </row>
    <row r="144">
      <c r="A144" s="12"/>
      <c r="B144" s="80" t="s">
        <v>127</v>
      </c>
      <c r="C144" s="24">
        <v>31.0</v>
      </c>
      <c r="D144" s="22">
        <v>7.9667</v>
      </c>
      <c r="E144" s="23">
        <f t="shared" si="145"/>
        <v>0.3319458333</v>
      </c>
      <c r="F144" s="22">
        <f t="shared" si="146"/>
        <v>16.0333</v>
      </c>
      <c r="G144" s="23">
        <f t="shared" si="147"/>
        <v>0.6680541667</v>
      </c>
      <c r="H144" s="59">
        <v>0.01559005293</v>
      </c>
      <c r="I144" s="60">
        <f t="shared" si="148"/>
        <v>973.5216009</v>
      </c>
      <c r="J144" s="61">
        <f t="shared" si="149"/>
        <v>3.941898479</v>
      </c>
      <c r="K144" s="25">
        <v>5490.0</v>
      </c>
      <c r="L144" s="62">
        <f t="shared" si="150"/>
        <v>7.379032258</v>
      </c>
      <c r="M144" s="63">
        <f t="shared" si="151"/>
        <v>0.5342026354</v>
      </c>
      <c r="N144" s="63">
        <f t="shared" si="152"/>
        <v>0.822673661</v>
      </c>
      <c r="O144" s="25">
        <f t="shared" si="153"/>
        <v>4516.478399</v>
      </c>
      <c r="P144" s="25">
        <f t="shared" si="154"/>
        <v>4516.478399</v>
      </c>
      <c r="Q144" s="64">
        <f>C144*'Rate Codes'!$D$7</f>
        <v>53.490035</v>
      </c>
      <c r="R144" s="25">
        <f>P144*'Rate Codes'!$D$8</f>
        <v>58.5019447</v>
      </c>
      <c r="S144" s="81">
        <f t="shared" si="155"/>
        <v>111.9919797</v>
      </c>
      <c r="T144" s="66">
        <f>P144*'Rate Codes'!$D$8</f>
        <v>58.5019447</v>
      </c>
      <c r="U144" s="67">
        <f>(O144)*'Billing Rate'!$B$1</f>
        <v>307.1205311</v>
      </c>
      <c r="V144" s="25">
        <f t="shared" si="156"/>
        <v>170.4939244</v>
      </c>
      <c r="W144" s="81">
        <f t="shared" si="157"/>
        <v>477.6144555</v>
      </c>
      <c r="X144" s="25">
        <f t="shared" si="158"/>
        <v>23.88072278</v>
      </c>
      <c r="Y144" s="81">
        <f t="shared" si="159"/>
        <v>501.4951783</v>
      </c>
    </row>
    <row r="145">
      <c r="A145" s="12"/>
      <c r="B145" s="77" t="s">
        <v>109</v>
      </c>
      <c r="C145" s="82"/>
      <c r="D145" s="83"/>
      <c r="E145" s="83"/>
      <c r="F145" s="83"/>
      <c r="G145" s="83"/>
      <c r="H145" s="83">
        <f t="shared" ref="H145:I145" si="160">SUM(H133:H144)</f>
        <v>1</v>
      </c>
      <c r="I145" s="84">
        <f t="shared" si="160"/>
        <v>62445.04783</v>
      </c>
      <c r="J145" s="84"/>
      <c r="K145" s="85">
        <f>SUM(K133:K144)</f>
        <v>66307</v>
      </c>
      <c r="L145" s="85"/>
      <c r="M145" s="85"/>
      <c r="N145" s="85"/>
      <c r="O145" s="85">
        <f t="shared" ref="O145:U145" si="161">SUM(O133:O144)</f>
        <v>3861.952167</v>
      </c>
      <c r="P145" s="48">
        <f t="shared" si="161"/>
        <v>34051.0622</v>
      </c>
      <c r="Q145" s="85">
        <f t="shared" si="161"/>
        <v>629.802025</v>
      </c>
      <c r="R145" s="85">
        <f t="shared" si="161"/>
        <v>441.0634087</v>
      </c>
      <c r="S145" s="85">
        <f t="shared" si="161"/>
        <v>1070.865434</v>
      </c>
      <c r="T145" s="85">
        <f t="shared" si="161"/>
        <v>441.0634087</v>
      </c>
      <c r="U145" s="85">
        <f t="shared" si="161"/>
        <v>262.6127474</v>
      </c>
      <c r="V145" s="48">
        <f t="shared" si="156"/>
        <v>1511.928842</v>
      </c>
      <c r="W145" s="85">
        <f t="shared" ref="W145:Y145" si="162">SUM(W133:W144)</f>
        <v>1774.54159</v>
      </c>
      <c r="X145" s="85">
        <f t="shared" si="162"/>
        <v>131.6868313</v>
      </c>
      <c r="Y145" s="85">
        <f t="shared" si="162"/>
        <v>1906.228421</v>
      </c>
    </row>
    <row r="147">
      <c r="A147" s="76">
        <v>9.0</v>
      </c>
      <c r="B147" s="12" t="s">
        <v>128</v>
      </c>
      <c r="C147" s="12"/>
      <c r="D147" s="15"/>
      <c r="E147" s="15"/>
      <c r="F147" s="15"/>
      <c r="G147" s="15"/>
      <c r="H147" s="15">
        <f>$H$1* POWER((1 -$O$1),A147)</f>
        <v>62132.82259</v>
      </c>
      <c r="I147" s="1" t="s">
        <v>132</v>
      </c>
      <c r="J147" s="1"/>
      <c r="K147" s="8">
        <f>H147/K161</f>
        <v>0.9370477113</v>
      </c>
      <c r="L147" s="8"/>
      <c r="M147" s="8"/>
      <c r="N147" s="8"/>
      <c r="O147" s="1" t="s">
        <v>133</v>
      </c>
      <c r="P147" s="6">
        <f>1-K147</f>
        <v>0.0629522887</v>
      </c>
      <c r="Q147" s="12" t="s">
        <v>74</v>
      </c>
      <c r="T147" s="12" t="s">
        <v>78</v>
      </c>
      <c r="U147" s="12"/>
      <c r="V147" s="12"/>
      <c r="W147" s="12"/>
      <c r="X147" s="12"/>
      <c r="Y147" s="12"/>
    </row>
    <row r="148">
      <c r="A148" s="12"/>
      <c r="B148" s="77" t="s">
        <v>83</v>
      </c>
      <c r="C148" s="20" t="s">
        <v>88</v>
      </c>
      <c r="D148" s="20" t="s">
        <v>84</v>
      </c>
      <c r="E148" s="20" t="s">
        <v>85</v>
      </c>
      <c r="F148" s="20" t="s">
        <v>86</v>
      </c>
      <c r="G148" s="20" t="s">
        <v>87</v>
      </c>
      <c r="H148" s="20" t="s">
        <v>134</v>
      </c>
      <c r="I148" s="44" t="s">
        <v>135</v>
      </c>
      <c r="J148" s="53" t="s">
        <v>92</v>
      </c>
      <c r="K148" s="20" t="s">
        <v>89</v>
      </c>
      <c r="L148" s="53" t="s">
        <v>90</v>
      </c>
      <c r="M148" s="53" t="s">
        <v>136</v>
      </c>
      <c r="N148" s="53" t="s">
        <v>137</v>
      </c>
      <c r="O148" s="20" t="s">
        <v>138</v>
      </c>
      <c r="P148" s="20" t="s">
        <v>139</v>
      </c>
      <c r="Q148" s="78" t="s">
        <v>76</v>
      </c>
      <c r="R148" s="78" t="s">
        <v>82</v>
      </c>
      <c r="S148" s="78" t="s">
        <v>109</v>
      </c>
      <c r="T148" s="78" t="s">
        <v>80</v>
      </c>
      <c r="U148" s="78" t="s">
        <v>67</v>
      </c>
      <c r="V148" s="45" t="s">
        <v>114</v>
      </c>
      <c r="W148" s="79" t="s">
        <v>115</v>
      </c>
      <c r="X148" s="79" t="s">
        <v>60</v>
      </c>
      <c r="Y148" s="79" t="s">
        <v>109</v>
      </c>
    </row>
    <row r="149">
      <c r="A149" s="12"/>
      <c r="B149" s="80" t="s">
        <v>117</v>
      </c>
      <c r="C149" s="24">
        <v>31.0</v>
      </c>
      <c r="D149" s="22">
        <v>8.45</v>
      </c>
      <c r="E149" s="23">
        <f t="shared" ref="E149:E160" si="163">D149/24</f>
        <v>0.3520833333</v>
      </c>
      <c r="F149" s="22">
        <f t="shared" ref="F149:F160" si="164">24-D149</f>
        <v>15.55</v>
      </c>
      <c r="G149" s="23">
        <f t="shared" ref="G149:G160" si="165">F149/24</f>
        <v>0.6479166667</v>
      </c>
      <c r="H149" s="59">
        <v>0.02731296772</v>
      </c>
      <c r="I149" s="60">
        <f t="shared" ref="I149:I160" si="166">H$147*H149</f>
        <v>1697.031778</v>
      </c>
      <c r="J149" s="61">
        <f t="shared" ref="J149:J160" si="167">I149/C149/D149</f>
        <v>6.478456873</v>
      </c>
      <c r="K149" s="25">
        <v>5726.0</v>
      </c>
      <c r="L149" s="62">
        <f t="shared" ref="L149:L160" si="168">K149/C149/24</f>
        <v>7.696236559</v>
      </c>
      <c r="M149" s="63">
        <f t="shared" ref="M149:M160" si="169">IF((J149/L149)&gt;1,1,J149/L149)</f>
        <v>0.8417694575</v>
      </c>
      <c r="N149" s="63">
        <f t="shared" ref="N149:N160" si="170">1-E149*M149</f>
        <v>0.7036270035</v>
      </c>
      <c r="O149" s="25">
        <f t="shared" ref="O149:O160" si="171">K149-I149</f>
        <v>4028.968222</v>
      </c>
      <c r="P149" s="25">
        <f t="shared" ref="P149:P160" si="172">K149*N149</f>
        <v>4028.968222</v>
      </c>
      <c r="Q149" s="64">
        <f>C149*'Rate Codes'!$D$7</f>
        <v>53.490035</v>
      </c>
      <c r="R149" s="25">
        <f>P149*'Rate Codes'!$D$8</f>
        <v>52.18722538</v>
      </c>
      <c r="S149" s="81">
        <f t="shared" ref="S149:S160" si="173">SUM(Q149:R149)</f>
        <v>105.6772604</v>
      </c>
      <c r="T149" s="66">
        <f>P149*'Rate Codes'!$D$8</f>
        <v>52.18722538</v>
      </c>
      <c r="U149" s="67">
        <f>(O149)*'Billing Rate'!$B$1</f>
        <v>273.9698391</v>
      </c>
      <c r="V149" s="25">
        <f t="shared" ref="V149:V161" si="174">S149+T149</f>
        <v>157.8644858</v>
      </c>
      <c r="W149" s="81">
        <f t="shared" ref="W149:W160" si="175">U149+S149+T149</f>
        <v>431.8343249</v>
      </c>
      <c r="X149" s="25">
        <f t="shared" ref="X149:X160" si="176">(IF(U149&gt;0,U149,0)+V149)*0.05</f>
        <v>21.59171624</v>
      </c>
      <c r="Y149" s="81">
        <f t="shared" ref="Y149:Y160" si="177">W149+X149</f>
        <v>453.4260411</v>
      </c>
    </row>
    <row r="150">
      <c r="A150" s="12"/>
      <c r="B150" s="80" t="s">
        <v>118</v>
      </c>
      <c r="C150" s="24">
        <v>28.0</v>
      </c>
      <c r="D150" s="22">
        <v>9.9167</v>
      </c>
      <c r="E150" s="23">
        <f t="shared" si="163"/>
        <v>0.4131958333</v>
      </c>
      <c r="F150" s="22">
        <f t="shared" si="164"/>
        <v>14.0833</v>
      </c>
      <c r="G150" s="23">
        <f t="shared" si="165"/>
        <v>0.5868041667</v>
      </c>
      <c r="H150" s="59">
        <v>0.04620731865</v>
      </c>
      <c r="I150" s="60">
        <f t="shared" si="166"/>
        <v>2870.991132</v>
      </c>
      <c r="J150" s="61">
        <f t="shared" si="167"/>
        <v>10.3396692</v>
      </c>
      <c r="K150" s="25">
        <v>5279.0</v>
      </c>
      <c r="L150" s="62">
        <f t="shared" si="168"/>
        <v>7.855654762</v>
      </c>
      <c r="M150" s="63">
        <f t="shared" si="169"/>
        <v>1</v>
      </c>
      <c r="N150" s="63">
        <f t="shared" si="170"/>
        <v>0.5868041667</v>
      </c>
      <c r="O150" s="25">
        <f t="shared" si="171"/>
        <v>2408.008868</v>
      </c>
      <c r="P150" s="25">
        <f t="shared" si="172"/>
        <v>3097.739196</v>
      </c>
      <c r="Q150" s="64">
        <f>C150*'Rate Codes'!$D$7</f>
        <v>48.31358</v>
      </c>
      <c r="R150" s="25">
        <f>P150*'Rate Codes'!$D$8</f>
        <v>40.1250158</v>
      </c>
      <c r="S150" s="81">
        <f t="shared" si="173"/>
        <v>88.4385958</v>
      </c>
      <c r="T150" s="66">
        <f>P150*'Rate Codes'!$D$8</f>
        <v>40.1250158</v>
      </c>
      <c r="U150" s="67">
        <f>(O150)*'Billing Rate'!$B$1</f>
        <v>163.744603</v>
      </c>
      <c r="V150" s="25">
        <f t="shared" si="174"/>
        <v>128.5636116</v>
      </c>
      <c r="W150" s="81">
        <f t="shared" si="175"/>
        <v>292.3082146</v>
      </c>
      <c r="X150" s="25">
        <f t="shared" si="176"/>
        <v>14.61541073</v>
      </c>
      <c r="Y150" s="81">
        <f t="shared" si="177"/>
        <v>306.9236253</v>
      </c>
    </row>
    <row r="151">
      <c r="A151" s="12"/>
      <c r="B151" s="80" t="s">
        <v>119</v>
      </c>
      <c r="C151" s="24">
        <v>31.0</v>
      </c>
      <c r="D151" s="22">
        <v>11.8</v>
      </c>
      <c r="E151" s="23">
        <f t="shared" si="163"/>
        <v>0.4916666667</v>
      </c>
      <c r="F151" s="22">
        <f t="shared" si="164"/>
        <v>12.2</v>
      </c>
      <c r="G151" s="23">
        <f t="shared" si="165"/>
        <v>0.5083333333</v>
      </c>
      <c r="H151" s="59">
        <v>0.08500831624</v>
      </c>
      <c r="I151" s="60">
        <f t="shared" si="166"/>
        <v>5281.806632</v>
      </c>
      <c r="J151" s="61">
        <f t="shared" si="167"/>
        <v>14.43905586</v>
      </c>
      <c r="K151" s="25">
        <v>4991.0</v>
      </c>
      <c r="L151" s="62">
        <f t="shared" si="168"/>
        <v>6.708333333</v>
      </c>
      <c r="M151" s="63">
        <f t="shared" si="169"/>
        <v>1</v>
      </c>
      <c r="N151" s="63">
        <f t="shared" si="170"/>
        <v>0.5083333333</v>
      </c>
      <c r="O151" s="25">
        <f t="shared" si="171"/>
        <v>-290.8066319</v>
      </c>
      <c r="P151" s="25">
        <f t="shared" si="172"/>
        <v>2537.091667</v>
      </c>
      <c r="Q151" s="64">
        <f>C151*'Rate Codes'!$D$7</f>
        <v>53.490035</v>
      </c>
      <c r="R151" s="25">
        <f>P151*'Rate Codes'!$D$8</f>
        <v>32.86294836</v>
      </c>
      <c r="S151" s="81">
        <f t="shared" si="173"/>
        <v>86.35298336</v>
      </c>
      <c r="T151" s="66">
        <f>P151*'Rate Codes'!$D$8</f>
        <v>32.86294836</v>
      </c>
      <c r="U151" s="67">
        <f>(O151)*'Billing Rate'!$B$1</f>
        <v>-19.77485097</v>
      </c>
      <c r="V151" s="25">
        <f t="shared" si="174"/>
        <v>119.2159317</v>
      </c>
      <c r="W151" s="81">
        <f t="shared" si="175"/>
        <v>99.44108075</v>
      </c>
      <c r="X151" s="25">
        <f t="shared" si="176"/>
        <v>5.960796586</v>
      </c>
      <c r="Y151" s="81">
        <f t="shared" si="177"/>
        <v>105.4018773</v>
      </c>
    </row>
    <row r="152">
      <c r="A152" s="12"/>
      <c r="B152" s="80" t="s">
        <v>120</v>
      </c>
      <c r="C152" s="24">
        <v>30.0</v>
      </c>
      <c r="D152" s="22">
        <v>13.8</v>
      </c>
      <c r="E152" s="23">
        <f t="shared" si="163"/>
        <v>0.575</v>
      </c>
      <c r="F152" s="22">
        <f t="shared" si="164"/>
        <v>10.2</v>
      </c>
      <c r="G152" s="23">
        <f t="shared" si="165"/>
        <v>0.425</v>
      </c>
      <c r="H152" s="59">
        <v>0.108773175</v>
      </c>
      <c r="I152" s="60">
        <f t="shared" si="166"/>
        <v>6758.384385</v>
      </c>
      <c r="J152" s="61">
        <f t="shared" si="167"/>
        <v>16.32459996</v>
      </c>
      <c r="K152" s="25">
        <v>4952.0</v>
      </c>
      <c r="L152" s="62">
        <f t="shared" si="168"/>
        <v>6.877777778</v>
      </c>
      <c r="M152" s="63">
        <f t="shared" si="169"/>
        <v>1</v>
      </c>
      <c r="N152" s="63">
        <f t="shared" si="170"/>
        <v>0.425</v>
      </c>
      <c r="O152" s="25">
        <f t="shared" si="171"/>
        <v>-1806.384385</v>
      </c>
      <c r="P152" s="25">
        <f t="shared" si="172"/>
        <v>2104.6</v>
      </c>
      <c r="Q152" s="64">
        <f>C152*'Rate Codes'!$D$7</f>
        <v>51.76455</v>
      </c>
      <c r="R152" s="25">
        <f>P152*'Rate Codes'!$D$8</f>
        <v>27.2608838</v>
      </c>
      <c r="S152" s="81">
        <f t="shared" si="173"/>
        <v>79.0254338</v>
      </c>
      <c r="T152" s="66">
        <f>P152*'Rate Codes'!$D$8</f>
        <v>27.2608838</v>
      </c>
      <c r="U152" s="67">
        <f>(O152)*'Billing Rate'!$B$1</f>
        <v>-122.8341382</v>
      </c>
      <c r="V152" s="25">
        <f t="shared" si="174"/>
        <v>106.2863176</v>
      </c>
      <c r="W152" s="81">
        <f t="shared" si="175"/>
        <v>-16.54782059</v>
      </c>
      <c r="X152" s="25">
        <f t="shared" si="176"/>
        <v>5.31431588</v>
      </c>
      <c r="Y152" s="81">
        <f t="shared" si="177"/>
        <v>-11.23350471</v>
      </c>
    </row>
    <row r="153">
      <c r="A153" s="12"/>
      <c r="B153" s="80" t="s">
        <v>98</v>
      </c>
      <c r="C153" s="24">
        <v>31.0</v>
      </c>
      <c r="D153" s="22">
        <v>15.5333</v>
      </c>
      <c r="E153" s="23">
        <f t="shared" si="163"/>
        <v>0.6472208333</v>
      </c>
      <c r="F153" s="22">
        <f t="shared" si="164"/>
        <v>8.4667</v>
      </c>
      <c r="G153" s="23">
        <f t="shared" si="165"/>
        <v>0.3527791667</v>
      </c>
      <c r="H153" s="59">
        <v>0.1281742617</v>
      </c>
      <c r="I153" s="60">
        <f t="shared" si="166"/>
        <v>7963.828663</v>
      </c>
      <c r="J153" s="61">
        <f t="shared" si="167"/>
        <v>16.53851395</v>
      </c>
      <c r="K153" s="25">
        <v>5559.0</v>
      </c>
      <c r="L153" s="62">
        <f t="shared" si="168"/>
        <v>7.471774194</v>
      </c>
      <c r="M153" s="63">
        <f t="shared" si="169"/>
        <v>1</v>
      </c>
      <c r="N153" s="63">
        <f t="shared" si="170"/>
        <v>0.3527791667</v>
      </c>
      <c r="O153" s="25">
        <f t="shared" si="171"/>
        <v>-2404.828663</v>
      </c>
      <c r="P153" s="25">
        <f t="shared" si="172"/>
        <v>1961.099388</v>
      </c>
      <c r="Q153" s="64">
        <f>C153*'Rate Codes'!$D$7</f>
        <v>53.490035</v>
      </c>
      <c r="R153" s="25">
        <f>P153*'Rate Codes'!$D$8</f>
        <v>25.40212037</v>
      </c>
      <c r="S153" s="81">
        <f t="shared" si="173"/>
        <v>78.89215537</v>
      </c>
      <c r="T153" s="66">
        <f>P153*'Rate Codes'!$D$8</f>
        <v>25.40212037</v>
      </c>
      <c r="U153" s="67">
        <f>(O153)*'Billing Rate'!$B$1</f>
        <v>-163.5283491</v>
      </c>
      <c r="V153" s="25">
        <f t="shared" si="174"/>
        <v>104.2942757</v>
      </c>
      <c r="W153" s="81">
        <f t="shared" si="175"/>
        <v>-59.23407337</v>
      </c>
      <c r="X153" s="25">
        <f t="shared" si="176"/>
        <v>5.214713787</v>
      </c>
      <c r="Y153" s="81">
        <f t="shared" si="177"/>
        <v>-54.01935958</v>
      </c>
    </row>
    <row r="154">
      <c r="A154" s="12"/>
      <c r="B154" s="80" t="s">
        <v>121</v>
      </c>
      <c r="C154" s="24">
        <v>30.0</v>
      </c>
      <c r="D154" s="22">
        <v>16.4667</v>
      </c>
      <c r="E154" s="23">
        <f t="shared" si="163"/>
        <v>0.6861125</v>
      </c>
      <c r="F154" s="22">
        <f t="shared" si="164"/>
        <v>7.5333</v>
      </c>
      <c r="G154" s="23">
        <f t="shared" si="165"/>
        <v>0.3138875</v>
      </c>
      <c r="H154" s="59">
        <v>0.1254860808</v>
      </c>
      <c r="I154" s="60">
        <f t="shared" si="166"/>
        <v>7796.804396</v>
      </c>
      <c r="J154" s="61">
        <f t="shared" si="167"/>
        <v>15.7829729</v>
      </c>
      <c r="K154" s="25">
        <v>4964.0</v>
      </c>
      <c r="L154" s="62">
        <f t="shared" si="168"/>
        <v>6.894444444</v>
      </c>
      <c r="M154" s="63">
        <f t="shared" si="169"/>
        <v>1</v>
      </c>
      <c r="N154" s="63">
        <f t="shared" si="170"/>
        <v>0.3138875</v>
      </c>
      <c r="O154" s="25">
        <f t="shared" si="171"/>
        <v>-2832.804396</v>
      </c>
      <c r="P154" s="25">
        <f t="shared" si="172"/>
        <v>1558.13755</v>
      </c>
      <c r="Q154" s="64">
        <f>C154*'Rate Codes'!$D$7</f>
        <v>51.76455</v>
      </c>
      <c r="R154" s="25">
        <f>P154*'Rate Codes'!$D$8</f>
        <v>20.18255569</v>
      </c>
      <c r="S154" s="81">
        <f t="shared" si="173"/>
        <v>71.94710569</v>
      </c>
      <c r="T154" s="66">
        <f>P154*'Rate Codes'!$D$8</f>
        <v>20.18255569</v>
      </c>
      <c r="U154" s="67">
        <f>(O154)*'Billing Rate'!$B$1</f>
        <v>-192.6306989</v>
      </c>
      <c r="V154" s="25">
        <f t="shared" si="174"/>
        <v>92.12966137</v>
      </c>
      <c r="W154" s="81">
        <f t="shared" si="175"/>
        <v>-100.5010376</v>
      </c>
      <c r="X154" s="25">
        <f t="shared" si="176"/>
        <v>4.606483069</v>
      </c>
      <c r="Y154" s="81">
        <f t="shared" si="177"/>
        <v>-95.89455451</v>
      </c>
    </row>
    <row r="155">
      <c r="A155" s="12"/>
      <c r="B155" s="80" t="s">
        <v>122</v>
      </c>
      <c r="C155" s="24">
        <v>31.0</v>
      </c>
      <c r="D155" s="22">
        <v>16.05</v>
      </c>
      <c r="E155" s="23">
        <f t="shared" si="163"/>
        <v>0.66875</v>
      </c>
      <c r="F155" s="22">
        <f t="shared" si="164"/>
        <v>7.95</v>
      </c>
      <c r="G155" s="23">
        <f t="shared" si="165"/>
        <v>0.33125</v>
      </c>
      <c r="H155" s="59">
        <v>0.1449493112</v>
      </c>
      <c r="I155" s="60">
        <f t="shared" si="166"/>
        <v>9006.109838</v>
      </c>
      <c r="J155" s="61">
        <f t="shared" si="167"/>
        <v>18.10091415</v>
      </c>
      <c r="K155" s="25">
        <v>6634.0</v>
      </c>
      <c r="L155" s="62">
        <f t="shared" si="168"/>
        <v>8.916666667</v>
      </c>
      <c r="M155" s="63">
        <f t="shared" si="169"/>
        <v>1</v>
      </c>
      <c r="N155" s="63">
        <f t="shared" si="170"/>
        <v>0.33125</v>
      </c>
      <c r="O155" s="25">
        <f t="shared" si="171"/>
        <v>-2372.109838</v>
      </c>
      <c r="P155" s="25">
        <f t="shared" si="172"/>
        <v>2197.5125</v>
      </c>
      <c r="Q155" s="64">
        <f>C155*'Rate Codes'!$D$7</f>
        <v>53.490035</v>
      </c>
      <c r="R155" s="25">
        <f>P155*'Rate Codes'!$D$8</f>
        <v>28.46437941</v>
      </c>
      <c r="S155" s="81">
        <f t="shared" si="173"/>
        <v>81.95441441</v>
      </c>
      <c r="T155" s="66">
        <f>P155*'Rate Codes'!$D$8</f>
        <v>28.46437941</v>
      </c>
      <c r="U155" s="67">
        <f>(O155)*'Billing Rate'!$B$1</f>
        <v>-161.303469</v>
      </c>
      <c r="V155" s="25">
        <f t="shared" si="174"/>
        <v>110.4187938</v>
      </c>
      <c r="W155" s="81">
        <f t="shared" si="175"/>
        <v>-50.88467515</v>
      </c>
      <c r="X155" s="25">
        <f t="shared" si="176"/>
        <v>5.520939691</v>
      </c>
      <c r="Y155" s="81">
        <f t="shared" si="177"/>
        <v>-45.36373545</v>
      </c>
    </row>
    <row r="156">
      <c r="A156" s="12"/>
      <c r="B156" s="80" t="s">
        <v>123</v>
      </c>
      <c r="C156" s="24">
        <v>31.0</v>
      </c>
      <c r="D156" s="22">
        <v>14.5167</v>
      </c>
      <c r="E156" s="23">
        <f t="shared" si="163"/>
        <v>0.6048625</v>
      </c>
      <c r="F156" s="22">
        <f t="shared" si="164"/>
        <v>9.4833</v>
      </c>
      <c r="G156" s="23">
        <f t="shared" si="165"/>
        <v>0.3951375</v>
      </c>
      <c r="H156" s="59">
        <v>0.1246952409</v>
      </c>
      <c r="I156" s="60">
        <f t="shared" si="166"/>
        <v>7747.667281</v>
      </c>
      <c r="J156" s="61">
        <f t="shared" si="167"/>
        <v>17.21636123</v>
      </c>
      <c r="K156" s="25">
        <v>5909.0</v>
      </c>
      <c r="L156" s="62">
        <f t="shared" si="168"/>
        <v>7.942204301</v>
      </c>
      <c r="M156" s="63">
        <f t="shared" si="169"/>
        <v>1</v>
      </c>
      <c r="N156" s="63">
        <f t="shared" si="170"/>
        <v>0.3951375</v>
      </c>
      <c r="O156" s="25">
        <f t="shared" si="171"/>
        <v>-1838.667281</v>
      </c>
      <c r="P156" s="25">
        <f t="shared" si="172"/>
        <v>2334.867488</v>
      </c>
      <c r="Q156" s="64">
        <f>C156*'Rate Codes'!$D$7</f>
        <v>53.490035</v>
      </c>
      <c r="R156" s="25">
        <f>P156*'Rate Codes'!$D$8</f>
        <v>30.24353857</v>
      </c>
      <c r="S156" s="81">
        <f t="shared" si="173"/>
        <v>83.73357357</v>
      </c>
      <c r="T156" s="66">
        <f>P156*'Rate Codes'!$D$8</f>
        <v>30.24353857</v>
      </c>
      <c r="U156" s="67">
        <f>(O156)*'Billing Rate'!$B$1</f>
        <v>-125.0293751</v>
      </c>
      <c r="V156" s="25">
        <f t="shared" si="174"/>
        <v>113.9771121</v>
      </c>
      <c r="W156" s="81">
        <f t="shared" si="175"/>
        <v>-11.05226298</v>
      </c>
      <c r="X156" s="25">
        <f t="shared" si="176"/>
        <v>5.698855607</v>
      </c>
      <c r="Y156" s="81">
        <f t="shared" si="177"/>
        <v>-5.353407374</v>
      </c>
    </row>
    <row r="157">
      <c r="A157" s="12"/>
      <c r="B157" s="80" t="s">
        <v>124</v>
      </c>
      <c r="C157" s="24">
        <v>30.0</v>
      </c>
      <c r="D157" s="22">
        <v>12.5833</v>
      </c>
      <c r="E157" s="23">
        <f t="shared" si="163"/>
        <v>0.5243041667</v>
      </c>
      <c r="F157" s="22">
        <f t="shared" si="164"/>
        <v>11.4167</v>
      </c>
      <c r="G157" s="23">
        <f t="shared" si="165"/>
        <v>0.4756958333</v>
      </c>
      <c r="H157" s="59">
        <v>0.09825803101</v>
      </c>
      <c r="I157" s="60">
        <f t="shared" si="166"/>
        <v>6105.048809</v>
      </c>
      <c r="J157" s="61">
        <f t="shared" si="167"/>
        <v>16.17235757</v>
      </c>
      <c r="K157" s="25">
        <v>5270.0</v>
      </c>
      <c r="L157" s="62">
        <f t="shared" si="168"/>
        <v>7.319444444</v>
      </c>
      <c r="M157" s="63">
        <f t="shared" si="169"/>
        <v>1</v>
      </c>
      <c r="N157" s="63">
        <f t="shared" si="170"/>
        <v>0.4756958333</v>
      </c>
      <c r="O157" s="25">
        <f t="shared" si="171"/>
        <v>-835.0488091</v>
      </c>
      <c r="P157" s="25">
        <f t="shared" si="172"/>
        <v>2506.917042</v>
      </c>
      <c r="Q157" s="64">
        <f>C157*'Rate Codes'!$D$7</f>
        <v>51.76455</v>
      </c>
      <c r="R157" s="25">
        <f>P157*'Rate Codes'!$D$8</f>
        <v>32.47209644</v>
      </c>
      <c r="S157" s="81">
        <f t="shared" si="173"/>
        <v>84.23664644</v>
      </c>
      <c r="T157" s="66">
        <f>P157*'Rate Codes'!$D$8</f>
        <v>32.47209644</v>
      </c>
      <c r="U157" s="67">
        <f>(O157)*'Billing Rate'!$B$1</f>
        <v>-56.78331902</v>
      </c>
      <c r="V157" s="25">
        <f t="shared" si="174"/>
        <v>116.7087429</v>
      </c>
      <c r="W157" s="81">
        <f t="shared" si="175"/>
        <v>59.92542386</v>
      </c>
      <c r="X157" s="25">
        <f t="shared" si="176"/>
        <v>5.835437144</v>
      </c>
      <c r="Y157" s="81">
        <f t="shared" si="177"/>
        <v>65.76086101</v>
      </c>
    </row>
    <row r="158">
      <c r="A158" s="12"/>
      <c r="B158" s="80" t="s">
        <v>125</v>
      </c>
      <c r="C158" s="24">
        <v>31.0</v>
      </c>
      <c r="D158" s="22">
        <v>10.5833</v>
      </c>
      <c r="E158" s="23">
        <f t="shared" si="163"/>
        <v>0.4409708333</v>
      </c>
      <c r="F158" s="22">
        <f t="shared" si="164"/>
        <v>13.4167</v>
      </c>
      <c r="G158" s="23">
        <f t="shared" si="165"/>
        <v>0.5590291667</v>
      </c>
      <c r="H158" s="59">
        <v>0.06840443866</v>
      </c>
      <c r="I158" s="60">
        <f t="shared" si="166"/>
        <v>4250.160852</v>
      </c>
      <c r="J158" s="61">
        <f t="shared" si="167"/>
        <v>12.95455699</v>
      </c>
      <c r="K158" s="25">
        <v>5946.0</v>
      </c>
      <c r="L158" s="62">
        <f t="shared" si="168"/>
        <v>7.991935484</v>
      </c>
      <c r="M158" s="63">
        <f t="shared" si="169"/>
        <v>1</v>
      </c>
      <c r="N158" s="63">
        <f t="shared" si="170"/>
        <v>0.5590291667</v>
      </c>
      <c r="O158" s="25">
        <f t="shared" si="171"/>
        <v>1695.839148</v>
      </c>
      <c r="P158" s="25">
        <f t="shared" si="172"/>
        <v>3323.987425</v>
      </c>
      <c r="Q158" s="64">
        <f>C158*'Rate Codes'!$D$7</f>
        <v>53.490035</v>
      </c>
      <c r="R158" s="25">
        <f>P158*'Rate Codes'!$D$8</f>
        <v>43.05560912</v>
      </c>
      <c r="S158" s="81">
        <f t="shared" si="173"/>
        <v>96.54564412</v>
      </c>
      <c r="T158" s="66">
        <f>P158*'Rate Codes'!$D$8</f>
        <v>43.05560912</v>
      </c>
      <c r="U158" s="67">
        <f>(O158)*'Billing Rate'!$B$1</f>
        <v>115.3170621</v>
      </c>
      <c r="V158" s="25">
        <f t="shared" si="174"/>
        <v>139.6012532</v>
      </c>
      <c r="W158" s="81">
        <f t="shared" si="175"/>
        <v>254.9183153</v>
      </c>
      <c r="X158" s="25">
        <f t="shared" si="176"/>
        <v>12.74591577</v>
      </c>
      <c r="Y158" s="81">
        <f t="shared" si="177"/>
        <v>267.6642311</v>
      </c>
    </row>
    <row r="159">
      <c r="A159" s="12"/>
      <c r="B159" s="80" t="s">
        <v>126</v>
      </c>
      <c r="C159" s="24">
        <v>30.0</v>
      </c>
      <c r="D159" s="22">
        <v>8.85</v>
      </c>
      <c r="E159" s="23">
        <f t="shared" si="163"/>
        <v>0.36875</v>
      </c>
      <c r="F159" s="22">
        <f t="shared" si="164"/>
        <v>15.15</v>
      </c>
      <c r="G159" s="23">
        <f t="shared" si="165"/>
        <v>0.63125</v>
      </c>
      <c r="H159" s="59">
        <v>0.0271408052</v>
      </c>
      <c r="I159" s="60">
        <f t="shared" si="166"/>
        <v>1686.334835</v>
      </c>
      <c r="J159" s="61">
        <f t="shared" si="167"/>
        <v>6.351543633</v>
      </c>
      <c r="K159" s="25">
        <v>5587.0</v>
      </c>
      <c r="L159" s="62">
        <f t="shared" si="168"/>
        <v>7.759722222</v>
      </c>
      <c r="M159" s="63">
        <f t="shared" si="169"/>
        <v>0.8185271909</v>
      </c>
      <c r="N159" s="63">
        <f t="shared" si="170"/>
        <v>0.6981680983</v>
      </c>
      <c r="O159" s="25">
        <f t="shared" si="171"/>
        <v>3900.665165</v>
      </c>
      <c r="P159" s="25">
        <f t="shared" si="172"/>
        <v>3900.665165</v>
      </c>
      <c r="Q159" s="64">
        <f>C159*'Rate Codes'!$D$7</f>
        <v>51.76455</v>
      </c>
      <c r="R159" s="25">
        <f>P159*'Rate Codes'!$D$8</f>
        <v>50.52531589</v>
      </c>
      <c r="S159" s="81">
        <f t="shared" si="173"/>
        <v>102.2898659</v>
      </c>
      <c r="T159" s="66">
        <f>P159*'Rate Codes'!$D$8</f>
        <v>50.52531589</v>
      </c>
      <c r="U159" s="67">
        <f>(O159)*'Billing Rate'!$B$1</f>
        <v>265.2452313</v>
      </c>
      <c r="V159" s="25">
        <f t="shared" si="174"/>
        <v>152.8151818</v>
      </c>
      <c r="W159" s="81">
        <f t="shared" si="175"/>
        <v>418.060413</v>
      </c>
      <c r="X159" s="25">
        <f t="shared" si="176"/>
        <v>20.90302065</v>
      </c>
      <c r="Y159" s="81">
        <f t="shared" si="177"/>
        <v>438.9634337</v>
      </c>
    </row>
    <row r="160">
      <c r="A160" s="12"/>
      <c r="B160" s="80" t="s">
        <v>127</v>
      </c>
      <c r="C160" s="24">
        <v>31.0</v>
      </c>
      <c r="D160" s="22">
        <v>7.9667</v>
      </c>
      <c r="E160" s="23">
        <f t="shared" si="163"/>
        <v>0.3319458333</v>
      </c>
      <c r="F160" s="22">
        <f t="shared" si="164"/>
        <v>16.0333</v>
      </c>
      <c r="G160" s="23">
        <f t="shared" si="165"/>
        <v>0.6680541667</v>
      </c>
      <c r="H160" s="59">
        <v>0.01559005293</v>
      </c>
      <c r="I160" s="60">
        <f t="shared" si="166"/>
        <v>968.6539929</v>
      </c>
      <c r="J160" s="61">
        <f t="shared" si="167"/>
        <v>3.922188986</v>
      </c>
      <c r="K160" s="25">
        <v>5490.0</v>
      </c>
      <c r="L160" s="62">
        <f t="shared" si="168"/>
        <v>7.379032258</v>
      </c>
      <c r="M160" s="63">
        <f t="shared" si="169"/>
        <v>0.5315316222</v>
      </c>
      <c r="N160" s="63">
        <f t="shared" si="170"/>
        <v>0.8235602927</v>
      </c>
      <c r="O160" s="25">
        <f t="shared" si="171"/>
        <v>4521.346007</v>
      </c>
      <c r="P160" s="25">
        <f t="shared" si="172"/>
        <v>4521.346007</v>
      </c>
      <c r="Q160" s="64">
        <f>C160*'Rate Codes'!$D$7</f>
        <v>53.490035</v>
      </c>
      <c r="R160" s="25">
        <f>P160*'Rate Codes'!$D$8</f>
        <v>58.56499483</v>
      </c>
      <c r="S160" s="81">
        <f t="shared" si="173"/>
        <v>112.0550298</v>
      </c>
      <c r="T160" s="66">
        <f>P160*'Rate Codes'!$D$8</f>
        <v>58.56499483</v>
      </c>
      <c r="U160" s="67">
        <f>(O160)*'Billing Rate'!$B$1</f>
        <v>307.4515285</v>
      </c>
      <c r="V160" s="25">
        <f t="shared" si="174"/>
        <v>170.6200247</v>
      </c>
      <c r="W160" s="81">
        <f t="shared" si="175"/>
        <v>478.0715531</v>
      </c>
      <c r="X160" s="25">
        <f t="shared" si="176"/>
        <v>23.90357766</v>
      </c>
      <c r="Y160" s="81">
        <f t="shared" si="177"/>
        <v>501.9751308</v>
      </c>
    </row>
    <row r="161">
      <c r="A161" s="12"/>
      <c r="B161" s="77" t="s">
        <v>109</v>
      </c>
      <c r="C161" s="82"/>
      <c r="D161" s="83"/>
      <c r="E161" s="83"/>
      <c r="F161" s="83"/>
      <c r="G161" s="83"/>
      <c r="H161" s="83">
        <f t="shared" ref="H161:I161" si="178">SUM(H149:H160)</f>
        <v>1</v>
      </c>
      <c r="I161" s="84">
        <f t="shared" si="178"/>
        <v>62132.82259</v>
      </c>
      <c r="J161" s="84"/>
      <c r="K161" s="85">
        <f>SUM(K149:K160)</f>
        <v>66307</v>
      </c>
      <c r="L161" s="85"/>
      <c r="M161" s="85"/>
      <c r="N161" s="85"/>
      <c r="O161" s="85">
        <f t="shared" ref="O161:U161" si="179">SUM(O149:O160)</f>
        <v>4174.177406</v>
      </c>
      <c r="P161" s="48">
        <f t="shared" si="179"/>
        <v>34072.93165</v>
      </c>
      <c r="Q161" s="85">
        <f t="shared" si="179"/>
        <v>629.802025</v>
      </c>
      <c r="R161" s="85">
        <f t="shared" si="179"/>
        <v>441.3466836</v>
      </c>
      <c r="S161" s="85">
        <f t="shared" si="179"/>
        <v>1071.148709</v>
      </c>
      <c r="T161" s="85">
        <f t="shared" si="179"/>
        <v>441.3466836</v>
      </c>
      <c r="U161" s="85">
        <f t="shared" si="179"/>
        <v>283.8440636</v>
      </c>
      <c r="V161" s="48">
        <f t="shared" si="174"/>
        <v>1512.495392</v>
      </c>
      <c r="W161" s="85">
        <f t="shared" ref="W161:Y161" si="180">SUM(W149:W160)</f>
        <v>1796.339456</v>
      </c>
      <c r="X161" s="85">
        <f t="shared" si="180"/>
        <v>131.9111828</v>
      </c>
      <c r="Y161" s="85">
        <f t="shared" si="180"/>
        <v>1928.250639</v>
      </c>
    </row>
    <row r="163">
      <c r="A163" s="76">
        <v>10.0</v>
      </c>
      <c r="B163" s="12" t="s">
        <v>128</v>
      </c>
      <c r="C163" s="12"/>
      <c r="D163" s="15"/>
      <c r="E163" s="15"/>
      <c r="F163" s="15"/>
      <c r="G163" s="15"/>
      <c r="H163" s="15">
        <f>$H$1* POWER((1 -$O$1),A163)</f>
        <v>61822.15848</v>
      </c>
      <c r="I163" s="1" t="s">
        <v>132</v>
      </c>
      <c r="J163" s="1"/>
      <c r="K163" s="8">
        <f>H163/K177</f>
        <v>0.9323624727</v>
      </c>
      <c r="L163" s="8"/>
      <c r="M163" s="8"/>
      <c r="N163" s="8"/>
      <c r="O163" s="1" t="s">
        <v>133</v>
      </c>
      <c r="P163" s="6">
        <f>1-K163</f>
        <v>0.06763752726</v>
      </c>
      <c r="Q163" s="12" t="s">
        <v>74</v>
      </c>
      <c r="T163" s="12" t="s">
        <v>78</v>
      </c>
      <c r="U163" s="12"/>
      <c r="V163" s="12"/>
      <c r="W163" s="12"/>
      <c r="X163" s="12"/>
      <c r="Y163" s="12"/>
    </row>
    <row r="164">
      <c r="A164" s="12"/>
      <c r="B164" s="77" t="s">
        <v>83</v>
      </c>
      <c r="C164" s="20" t="s">
        <v>88</v>
      </c>
      <c r="D164" s="20" t="s">
        <v>84</v>
      </c>
      <c r="E164" s="20" t="s">
        <v>85</v>
      </c>
      <c r="F164" s="20" t="s">
        <v>86</v>
      </c>
      <c r="G164" s="20" t="s">
        <v>87</v>
      </c>
      <c r="H164" s="20" t="s">
        <v>134</v>
      </c>
      <c r="I164" s="44" t="s">
        <v>135</v>
      </c>
      <c r="J164" s="53" t="s">
        <v>92</v>
      </c>
      <c r="K164" s="20" t="s">
        <v>89</v>
      </c>
      <c r="L164" s="53" t="s">
        <v>90</v>
      </c>
      <c r="M164" s="53" t="s">
        <v>136</v>
      </c>
      <c r="N164" s="53" t="s">
        <v>137</v>
      </c>
      <c r="O164" s="20" t="s">
        <v>138</v>
      </c>
      <c r="P164" s="20" t="s">
        <v>139</v>
      </c>
      <c r="Q164" s="78" t="s">
        <v>76</v>
      </c>
      <c r="R164" s="78" t="s">
        <v>82</v>
      </c>
      <c r="S164" s="78" t="s">
        <v>109</v>
      </c>
      <c r="T164" s="78" t="s">
        <v>80</v>
      </c>
      <c r="U164" s="78" t="s">
        <v>67</v>
      </c>
      <c r="V164" s="45" t="s">
        <v>114</v>
      </c>
      <c r="W164" s="79" t="s">
        <v>115</v>
      </c>
      <c r="X164" s="79" t="s">
        <v>60</v>
      </c>
      <c r="Y164" s="79" t="s">
        <v>109</v>
      </c>
    </row>
    <row r="165">
      <c r="A165" s="12"/>
      <c r="B165" s="80" t="s">
        <v>117</v>
      </c>
      <c r="C165" s="24">
        <v>31.0</v>
      </c>
      <c r="D165" s="22">
        <v>8.45</v>
      </c>
      <c r="E165" s="23">
        <f t="shared" ref="E165:E176" si="181">D165/24</f>
        <v>0.3520833333</v>
      </c>
      <c r="F165" s="22">
        <f t="shared" ref="F165:F176" si="182">24-D165</f>
        <v>15.55</v>
      </c>
      <c r="G165" s="23">
        <f t="shared" ref="G165:G176" si="183">F165/24</f>
        <v>0.6479166667</v>
      </c>
      <c r="H165" s="59">
        <v>0.02731296772</v>
      </c>
      <c r="I165" s="60">
        <f t="shared" ref="I165:I176" si="184">H$163*H165</f>
        <v>1688.546619</v>
      </c>
      <c r="J165" s="61">
        <f t="shared" ref="J165:J176" si="185">I165/C165/D165</f>
        <v>6.446064588</v>
      </c>
      <c r="K165" s="25">
        <v>5726.0</v>
      </c>
      <c r="L165" s="62">
        <f t="shared" ref="L165:L176" si="186">K165/C165/24</f>
        <v>7.696236559</v>
      </c>
      <c r="M165" s="63">
        <f t="shared" ref="M165:M176" si="187">IF((J165/L165)&gt;1,1,J165/L165)</f>
        <v>0.8375606102</v>
      </c>
      <c r="N165" s="63">
        <f t="shared" ref="N165:N176" si="188">1-E165*M165</f>
        <v>0.7051088685</v>
      </c>
      <c r="O165" s="25">
        <f t="shared" ref="O165:O176" si="189">K165-I165</f>
        <v>4037.453381</v>
      </c>
      <c r="P165" s="25">
        <f t="shared" ref="P165:P176" si="190">K165*N165</f>
        <v>4037.453381</v>
      </c>
      <c r="Q165" s="64">
        <f>C165*'Rate Codes'!$D$7</f>
        <v>53.490035</v>
      </c>
      <c r="R165" s="25">
        <f>P165*'Rate Codes'!$D$8</f>
        <v>52.29713364</v>
      </c>
      <c r="S165" s="81">
        <f t="shared" ref="S165:S176" si="191">SUM(Q165:R165)</f>
        <v>105.7871686</v>
      </c>
      <c r="T165" s="66">
        <f>P165*'Rate Codes'!$D$8</f>
        <v>52.29713364</v>
      </c>
      <c r="U165" s="67">
        <f>(O165)*'Billing Rate'!$B$1</f>
        <v>274.5468299</v>
      </c>
      <c r="V165" s="25">
        <f t="shared" ref="V165:V177" si="192">S165+T165</f>
        <v>158.0843023</v>
      </c>
      <c r="W165" s="81">
        <f t="shared" ref="W165:W176" si="193">U165+S165+T165</f>
        <v>432.6311322</v>
      </c>
      <c r="X165" s="25">
        <f t="shared" ref="X165:X176" si="194">(IF(U165&gt;0,U165,0)+V165)*0.05</f>
        <v>21.63155661</v>
      </c>
      <c r="Y165" s="81">
        <f t="shared" ref="Y165:Y176" si="195">W165+X165</f>
        <v>454.2626888</v>
      </c>
    </row>
    <row r="166">
      <c r="A166" s="12"/>
      <c r="B166" s="80" t="s">
        <v>118</v>
      </c>
      <c r="C166" s="24">
        <v>28.0</v>
      </c>
      <c r="D166" s="22">
        <v>9.9167</v>
      </c>
      <c r="E166" s="23">
        <f t="shared" si="181"/>
        <v>0.4131958333</v>
      </c>
      <c r="F166" s="22">
        <f t="shared" si="182"/>
        <v>14.0833</v>
      </c>
      <c r="G166" s="23">
        <f t="shared" si="183"/>
        <v>0.5868041667</v>
      </c>
      <c r="H166" s="59">
        <v>0.04620731865</v>
      </c>
      <c r="I166" s="60">
        <f t="shared" si="184"/>
        <v>2856.636177</v>
      </c>
      <c r="J166" s="61">
        <f t="shared" si="185"/>
        <v>10.28797086</v>
      </c>
      <c r="K166" s="25">
        <v>5279.0</v>
      </c>
      <c r="L166" s="62">
        <f t="shared" si="186"/>
        <v>7.855654762</v>
      </c>
      <c r="M166" s="63">
        <f t="shared" si="187"/>
        <v>1</v>
      </c>
      <c r="N166" s="63">
        <f t="shared" si="188"/>
        <v>0.5868041667</v>
      </c>
      <c r="O166" s="25">
        <f t="shared" si="189"/>
        <v>2422.363823</v>
      </c>
      <c r="P166" s="25">
        <f t="shared" si="190"/>
        <v>3097.739196</v>
      </c>
      <c r="Q166" s="64">
        <f>C166*'Rate Codes'!$D$7</f>
        <v>48.31358</v>
      </c>
      <c r="R166" s="25">
        <f>P166*'Rate Codes'!$D$8</f>
        <v>40.1250158</v>
      </c>
      <c r="S166" s="81">
        <f t="shared" si="191"/>
        <v>88.4385958</v>
      </c>
      <c r="T166" s="66">
        <f>P166*'Rate Codes'!$D$8</f>
        <v>40.1250158</v>
      </c>
      <c r="U166" s="67">
        <f>(O166)*'Billing Rate'!$B$1</f>
        <v>164.72074</v>
      </c>
      <c r="V166" s="25">
        <f t="shared" si="192"/>
        <v>128.5636116</v>
      </c>
      <c r="W166" s="81">
        <f t="shared" si="193"/>
        <v>293.2843516</v>
      </c>
      <c r="X166" s="25">
        <f t="shared" si="194"/>
        <v>14.66421758</v>
      </c>
      <c r="Y166" s="81">
        <f t="shared" si="195"/>
        <v>307.9485692</v>
      </c>
    </row>
    <row r="167">
      <c r="A167" s="12"/>
      <c r="B167" s="80" t="s">
        <v>119</v>
      </c>
      <c r="C167" s="24">
        <v>31.0</v>
      </c>
      <c r="D167" s="22">
        <v>11.8</v>
      </c>
      <c r="E167" s="23">
        <f t="shared" si="181"/>
        <v>0.4916666667</v>
      </c>
      <c r="F167" s="22">
        <f t="shared" si="182"/>
        <v>12.2</v>
      </c>
      <c r="G167" s="23">
        <f t="shared" si="183"/>
        <v>0.5083333333</v>
      </c>
      <c r="H167" s="59">
        <v>0.08500831624</v>
      </c>
      <c r="I167" s="60">
        <f t="shared" si="184"/>
        <v>5255.397599</v>
      </c>
      <c r="J167" s="61">
        <f t="shared" si="185"/>
        <v>14.36686058</v>
      </c>
      <c r="K167" s="25">
        <v>4991.0</v>
      </c>
      <c r="L167" s="62">
        <f t="shared" si="186"/>
        <v>6.708333333</v>
      </c>
      <c r="M167" s="63">
        <f t="shared" si="187"/>
        <v>1</v>
      </c>
      <c r="N167" s="63">
        <f t="shared" si="188"/>
        <v>0.5083333333</v>
      </c>
      <c r="O167" s="25">
        <f t="shared" si="189"/>
        <v>-264.3975987</v>
      </c>
      <c r="P167" s="25">
        <f t="shared" si="190"/>
        <v>2537.091667</v>
      </c>
      <c r="Q167" s="64">
        <f>C167*'Rate Codes'!$D$7</f>
        <v>53.490035</v>
      </c>
      <c r="R167" s="25">
        <f>P167*'Rate Codes'!$D$8</f>
        <v>32.86294836</v>
      </c>
      <c r="S167" s="81">
        <f t="shared" si="191"/>
        <v>86.35298336</v>
      </c>
      <c r="T167" s="66">
        <f>P167*'Rate Codes'!$D$8</f>
        <v>32.86294836</v>
      </c>
      <c r="U167" s="67">
        <f>(O167)*'Billing Rate'!$B$1</f>
        <v>-17.97903671</v>
      </c>
      <c r="V167" s="25">
        <f t="shared" si="192"/>
        <v>119.2159317</v>
      </c>
      <c r="W167" s="81">
        <f t="shared" si="193"/>
        <v>101.236895</v>
      </c>
      <c r="X167" s="25">
        <f t="shared" si="194"/>
        <v>5.960796586</v>
      </c>
      <c r="Y167" s="81">
        <f t="shared" si="195"/>
        <v>107.1976916</v>
      </c>
    </row>
    <row r="168">
      <c r="A168" s="12"/>
      <c r="B168" s="80" t="s">
        <v>120</v>
      </c>
      <c r="C168" s="24">
        <v>30.0</v>
      </c>
      <c r="D168" s="22">
        <v>13.8</v>
      </c>
      <c r="E168" s="23">
        <f t="shared" si="181"/>
        <v>0.575</v>
      </c>
      <c r="F168" s="22">
        <f t="shared" si="182"/>
        <v>10.2</v>
      </c>
      <c r="G168" s="23">
        <f t="shared" si="183"/>
        <v>0.425</v>
      </c>
      <c r="H168" s="59">
        <v>0.108773175</v>
      </c>
      <c r="I168" s="60">
        <f t="shared" si="184"/>
        <v>6724.592463</v>
      </c>
      <c r="J168" s="61">
        <f t="shared" si="185"/>
        <v>16.24297696</v>
      </c>
      <c r="K168" s="25">
        <v>4952.0</v>
      </c>
      <c r="L168" s="62">
        <f t="shared" si="186"/>
        <v>6.877777778</v>
      </c>
      <c r="M168" s="63">
        <f t="shared" si="187"/>
        <v>1</v>
      </c>
      <c r="N168" s="63">
        <f t="shared" si="188"/>
        <v>0.425</v>
      </c>
      <c r="O168" s="25">
        <f t="shared" si="189"/>
        <v>-1772.592463</v>
      </c>
      <c r="P168" s="25">
        <f t="shared" si="190"/>
        <v>2104.6</v>
      </c>
      <c r="Q168" s="64">
        <f>C168*'Rate Codes'!$D$7</f>
        <v>51.76455</v>
      </c>
      <c r="R168" s="25">
        <f>P168*'Rate Codes'!$D$8</f>
        <v>27.2608838</v>
      </c>
      <c r="S168" s="81">
        <f t="shared" si="191"/>
        <v>79.0254338</v>
      </c>
      <c r="T168" s="66">
        <f>P168*'Rate Codes'!$D$8</f>
        <v>27.2608838</v>
      </c>
      <c r="U168" s="67">
        <f>(O168)*'Billing Rate'!$B$1</f>
        <v>-120.5362875</v>
      </c>
      <c r="V168" s="25">
        <f t="shared" si="192"/>
        <v>106.2863176</v>
      </c>
      <c r="W168" s="81">
        <f t="shared" si="193"/>
        <v>-14.2499699</v>
      </c>
      <c r="X168" s="25">
        <f t="shared" si="194"/>
        <v>5.31431588</v>
      </c>
      <c r="Y168" s="81">
        <f t="shared" si="195"/>
        <v>-8.935654021</v>
      </c>
    </row>
    <row r="169">
      <c r="A169" s="12"/>
      <c r="B169" s="80" t="s">
        <v>98</v>
      </c>
      <c r="C169" s="24">
        <v>31.0</v>
      </c>
      <c r="D169" s="22">
        <v>15.5333</v>
      </c>
      <c r="E169" s="23">
        <f t="shared" si="181"/>
        <v>0.6472208333</v>
      </c>
      <c r="F169" s="22">
        <f t="shared" si="182"/>
        <v>8.4667</v>
      </c>
      <c r="G169" s="23">
        <f t="shared" si="183"/>
        <v>0.3527791667</v>
      </c>
      <c r="H169" s="59">
        <v>0.1281742617</v>
      </c>
      <c r="I169" s="60">
        <f t="shared" si="184"/>
        <v>7924.00952</v>
      </c>
      <c r="J169" s="61">
        <f t="shared" si="185"/>
        <v>16.45582139</v>
      </c>
      <c r="K169" s="25">
        <v>5559.0</v>
      </c>
      <c r="L169" s="62">
        <f t="shared" si="186"/>
        <v>7.471774194</v>
      </c>
      <c r="M169" s="63">
        <f t="shared" si="187"/>
        <v>1</v>
      </c>
      <c r="N169" s="63">
        <f t="shared" si="188"/>
        <v>0.3527791667</v>
      </c>
      <c r="O169" s="25">
        <f t="shared" si="189"/>
        <v>-2365.00952</v>
      </c>
      <c r="P169" s="25">
        <f t="shared" si="190"/>
        <v>1961.099388</v>
      </c>
      <c r="Q169" s="64">
        <f>C169*'Rate Codes'!$D$7</f>
        <v>53.490035</v>
      </c>
      <c r="R169" s="25">
        <f>P169*'Rate Codes'!$D$8</f>
        <v>25.40212037</v>
      </c>
      <c r="S169" s="81">
        <f t="shared" si="191"/>
        <v>78.89215537</v>
      </c>
      <c r="T169" s="66">
        <f>P169*'Rate Codes'!$D$8</f>
        <v>25.40212037</v>
      </c>
      <c r="U169" s="67">
        <f>(O169)*'Billing Rate'!$B$1</f>
        <v>-160.8206474</v>
      </c>
      <c r="V169" s="25">
        <f t="shared" si="192"/>
        <v>104.2942757</v>
      </c>
      <c r="W169" s="81">
        <f t="shared" si="193"/>
        <v>-56.52637162</v>
      </c>
      <c r="X169" s="25">
        <f t="shared" si="194"/>
        <v>5.214713787</v>
      </c>
      <c r="Y169" s="81">
        <f t="shared" si="195"/>
        <v>-51.31165783</v>
      </c>
    </row>
    <row r="170">
      <c r="A170" s="12"/>
      <c r="B170" s="80" t="s">
        <v>121</v>
      </c>
      <c r="C170" s="24">
        <v>30.0</v>
      </c>
      <c r="D170" s="22">
        <v>16.4667</v>
      </c>
      <c r="E170" s="23">
        <f t="shared" si="181"/>
        <v>0.6861125</v>
      </c>
      <c r="F170" s="22">
        <f t="shared" si="182"/>
        <v>7.5333</v>
      </c>
      <c r="G170" s="23">
        <f t="shared" si="183"/>
        <v>0.3138875</v>
      </c>
      <c r="H170" s="59">
        <v>0.1254860808</v>
      </c>
      <c r="I170" s="60">
        <f t="shared" si="184"/>
        <v>7757.820374</v>
      </c>
      <c r="J170" s="61">
        <f t="shared" si="185"/>
        <v>15.70405804</v>
      </c>
      <c r="K170" s="25">
        <v>4964.0</v>
      </c>
      <c r="L170" s="62">
        <f t="shared" si="186"/>
        <v>6.894444444</v>
      </c>
      <c r="M170" s="63">
        <f t="shared" si="187"/>
        <v>1</v>
      </c>
      <c r="N170" s="63">
        <f t="shared" si="188"/>
        <v>0.3138875</v>
      </c>
      <c r="O170" s="25">
        <f t="shared" si="189"/>
        <v>-2793.820374</v>
      </c>
      <c r="P170" s="25">
        <f t="shared" si="190"/>
        <v>1558.13755</v>
      </c>
      <c r="Q170" s="64">
        <f>C170*'Rate Codes'!$D$7</f>
        <v>51.76455</v>
      </c>
      <c r="R170" s="25">
        <f>P170*'Rate Codes'!$D$8</f>
        <v>20.18255569</v>
      </c>
      <c r="S170" s="81">
        <f t="shared" si="191"/>
        <v>71.94710569</v>
      </c>
      <c r="T170" s="66">
        <f>P170*'Rate Codes'!$D$8</f>
        <v>20.18255569</v>
      </c>
      <c r="U170" s="67">
        <f>(O170)*'Billing Rate'!$B$1</f>
        <v>-189.9797855</v>
      </c>
      <c r="V170" s="25">
        <f t="shared" si="192"/>
        <v>92.12966137</v>
      </c>
      <c r="W170" s="81">
        <f t="shared" si="193"/>
        <v>-97.85012408</v>
      </c>
      <c r="X170" s="25">
        <f t="shared" si="194"/>
        <v>4.606483069</v>
      </c>
      <c r="Y170" s="81">
        <f t="shared" si="195"/>
        <v>-93.24364101</v>
      </c>
    </row>
    <row r="171">
      <c r="A171" s="12"/>
      <c r="B171" s="80" t="s">
        <v>122</v>
      </c>
      <c r="C171" s="24">
        <v>31.0</v>
      </c>
      <c r="D171" s="22">
        <v>16.05</v>
      </c>
      <c r="E171" s="23">
        <f t="shared" si="181"/>
        <v>0.66875</v>
      </c>
      <c r="F171" s="22">
        <f t="shared" si="182"/>
        <v>7.95</v>
      </c>
      <c r="G171" s="23">
        <f t="shared" si="183"/>
        <v>0.33125</v>
      </c>
      <c r="H171" s="59">
        <v>0.1449493112</v>
      </c>
      <c r="I171" s="60">
        <f t="shared" si="184"/>
        <v>8961.079289</v>
      </c>
      <c r="J171" s="61">
        <f t="shared" si="185"/>
        <v>18.01040958</v>
      </c>
      <c r="K171" s="25">
        <v>6634.0</v>
      </c>
      <c r="L171" s="62">
        <f t="shared" si="186"/>
        <v>8.916666667</v>
      </c>
      <c r="M171" s="63">
        <f t="shared" si="187"/>
        <v>1</v>
      </c>
      <c r="N171" s="63">
        <f t="shared" si="188"/>
        <v>0.33125</v>
      </c>
      <c r="O171" s="25">
        <f t="shared" si="189"/>
        <v>-2327.079289</v>
      </c>
      <c r="P171" s="25">
        <f t="shared" si="190"/>
        <v>2197.5125</v>
      </c>
      <c r="Q171" s="64">
        <f>C171*'Rate Codes'!$D$7</f>
        <v>53.490035</v>
      </c>
      <c r="R171" s="25">
        <f>P171*'Rate Codes'!$D$8</f>
        <v>28.46437941</v>
      </c>
      <c r="S171" s="81">
        <f t="shared" si="191"/>
        <v>81.95441441</v>
      </c>
      <c r="T171" s="66">
        <f>P171*'Rate Codes'!$D$8</f>
        <v>28.46437941</v>
      </c>
      <c r="U171" s="67">
        <f>(O171)*'Billing Rate'!$B$1</f>
        <v>-158.2413916</v>
      </c>
      <c r="V171" s="25">
        <f t="shared" si="192"/>
        <v>110.4187938</v>
      </c>
      <c r="W171" s="81">
        <f t="shared" si="193"/>
        <v>-47.8225978</v>
      </c>
      <c r="X171" s="25">
        <f t="shared" si="194"/>
        <v>5.520939691</v>
      </c>
      <c r="Y171" s="81">
        <f t="shared" si="195"/>
        <v>-42.30165811</v>
      </c>
    </row>
    <row r="172">
      <c r="A172" s="12"/>
      <c r="B172" s="80" t="s">
        <v>123</v>
      </c>
      <c r="C172" s="24">
        <v>31.0</v>
      </c>
      <c r="D172" s="22">
        <v>14.5167</v>
      </c>
      <c r="E172" s="23">
        <f t="shared" si="181"/>
        <v>0.6048625</v>
      </c>
      <c r="F172" s="22">
        <f t="shared" si="182"/>
        <v>9.4833</v>
      </c>
      <c r="G172" s="23">
        <f t="shared" si="183"/>
        <v>0.3951375</v>
      </c>
      <c r="H172" s="59">
        <v>0.1246952409</v>
      </c>
      <c r="I172" s="60">
        <f t="shared" si="184"/>
        <v>7708.928945</v>
      </c>
      <c r="J172" s="61">
        <f t="shared" si="185"/>
        <v>17.13027942</v>
      </c>
      <c r="K172" s="25">
        <v>5909.0</v>
      </c>
      <c r="L172" s="62">
        <f t="shared" si="186"/>
        <v>7.942204301</v>
      </c>
      <c r="M172" s="63">
        <f t="shared" si="187"/>
        <v>1</v>
      </c>
      <c r="N172" s="63">
        <f t="shared" si="188"/>
        <v>0.3951375</v>
      </c>
      <c r="O172" s="25">
        <f t="shared" si="189"/>
        <v>-1799.928945</v>
      </c>
      <c r="P172" s="25">
        <f t="shared" si="190"/>
        <v>2334.867488</v>
      </c>
      <c r="Q172" s="64">
        <f>C172*'Rate Codes'!$D$7</f>
        <v>53.490035</v>
      </c>
      <c r="R172" s="25">
        <f>P172*'Rate Codes'!$D$8</f>
        <v>30.24353857</v>
      </c>
      <c r="S172" s="81">
        <f t="shared" si="191"/>
        <v>83.73357357</v>
      </c>
      <c r="T172" s="66">
        <f>P172*'Rate Codes'!$D$8</f>
        <v>30.24353857</v>
      </c>
      <c r="U172" s="67">
        <f>(O172)*'Billing Rate'!$B$1</f>
        <v>-122.3951682</v>
      </c>
      <c r="V172" s="25">
        <f t="shared" si="192"/>
        <v>113.9771121</v>
      </c>
      <c r="W172" s="81">
        <f t="shared" si="193"/>
        <v>-8.418056105</v>
      </c>
      <c r="X172" s="25">
        <f t="shared" si="194"/>
        <v>5.698855607</v>
      </c>
      <c r="Y172" s="81">
        <f t="shared" si="195"/>
        <v>-2.719200499</v>
      </c>
    </row>
    <row r="173">
      <c r="A173" s="12"/>
      <c r="B173" s="80" t="s">
        <v>124</v>
      </c>
      <c r="C173" s="24">
        <v>30.0</v>
      </c>
      <c r="D173" s="22">
        <v>12.5833</v>
      </c>
      <c r="E173" s="23">
        <f t="shared" si="181"/>
        <v>0.5243041667</v>
      </c>
      <c r="F173" s="22">
        <f t="shared" si="182"/>
        <v>11.4167</v>
      </c>
      <c r="G173" s="23">
        <f t="shared" si="183"/>
        <v>0.4756958333</v>
      </c>
      <c r="H173" s="59">
        <v>0.09825803101</v>
      </c>
      <c r="I173" s="60">
        <f t="shared" si="184"/>
        <v>6074.523565</v>
      </c>
      <c r="J173" s="61">
        <f t="shared" si="185"/>
        <v>16.09149578</v>
      </c>
      <c r="K173" s="25">
        <v>5270.0</v>
      </c>
      <c r="L173" s="62">
        <f t="shared" si="186"/>
        <v>7.319444444</v>
      </c>
      <c r="M173" s="63">
        <f t="shared" si="187"/>
        <v>1</v>
      </c>
      <c r="N173" s="63">
        <f t="shared" si="188"/>
        <v>0.4756958333</v>
      </c>
      <c r="O173" s="25">
        <f t="shared" si="189"/>
        <v>-804.5235651</v>
      </c>
      <c r="P173" s="25">
        <f t="shared" si="190"/>
        <v>2506.917042</v>
      </c>
      <c r="Q173" s="64">
        <f>C173*'Rate Codes'!$D$7</f>
        <v>51.76455</v>
      </c>
      <c r="R173" s="25">
        <f>P173*'Rate Codes'!$D$8</f>
        <v>32.47209644</v>
      </c>
      <c r="S173" s="81">
        <f t="shared" si="191"/>
        <v>84.23664644</v>
      </c>
      <c r="T173" s="66">
        <f>P173*'Rate Codes'!$D$8</f>
        <v>32.47209644</v>
      </c>
      <c r="U173" s="67">
        <f>(O173)*'Billing Rate'!$B$1</f>
        <v>-54.70760242</v>
      </c>
      <c r="V173" s="25">
        <f t="shared" si="192"/>
        <v>116.7087429</v>
      </c>
      <c r="W173" s="81">
        <f t="shared" si="193"/>
        <v>62.00114046</v>
      </c>
      <c r="X173" s="25">
        <f t="shared" si="194"/>
        <v>5.835437144</v>
      </c>
      <c r="Y173" s="81">
        <f t="shared" si="195"/>
        <v>67.8365776</v>
      </c>
    </row>
    <row r="174">
      <c r="A174" s="12"/>
      <c r="B174" s="80" t="s">
        <v>125</v>
      </c>
      <c r="C174" s="24">
        <v>31.0</v>
      </c>
      <c r="D174" s="22">
        <v>10.5833</v>
      </c>
      <c r="E174" s="23">
        <f t="shared" si="181"/>
        <v>0.4409708333</v>
      </c>
      <c r="F174" s="22">
        <f t="shared" si="182"/>
        <v>13.4167</v>
      </c>
      <c r="G174" s="23">
        <f t="shared" si="183"/>
        <v>0.5590291667</v>
      </c>
      <c r="H174" s="59">
        <v>0.06840443866</v>
      </c>
      <c r="I174" s="60">
        <f t="shared" si="184"/>
        <v>4228.910048</v>
      </c>
      <c r="J174" s="61">
        <f t="shared" si="185"/>
        <v>12.8897842</v>
      </c>
      <c r="K174" s="25">
        <v>5946.0</v>
      </c>
      <c r="L174" s="62">
        <f t="shared" si="186"/>
        <v>7.991935484</v>
      </c>
      <c r="M174" s="63">
        <f t="shared" si="187"/>
        <v>1</v>
      </c>
      <c r="N174" s="63">
        <f t="shared" si="188"/>
        <v>0.5590291667</v>
      </c>
      <c r="O174" s="25">
        <f t="shared" si="189"/>
        <v>1717.089952</v>
      </c>
      <c r="P174" s="25">
        <f t="shared" si="190"/>
        <v>3323.987425</v>
      </c>
      <c r="Q174" s="64">
        <f>C174*'Rate Codes'!$D$7</f>
        <v>53.490035</v>
      </c>
      <c r="R174" s="25">
        <f>P174*'Rate Codes'!$D$8</f>
        <v>43.05560912</v>
      </c>
      <c r="S174" s="81">
        <f t="shared" si="191"/>
        <v>96.54564412</v>
      </c>
      <c r="T174" s="66">
        <f>P174*'Rate Codes'!$D$8</f>
        <v>43.05560912</v>
      </c>
      <c r="U174" s="67">
        <f>(O174)*'Billing Rate'!$B$1</f>
        <v>116.7621168</v>
      </c>
      <c r="V174" s="25">
        <f t="shared" si="192"/>
        <v>139.6012532</v>
      </c>
      <c r="W174" s="81">
        <f t="shared" si="193"/>
        <v>256.36337</v>
      </c>
      <c r="X174" s="25">
        <f t="shared" si="194"/>
        <v>12.8181685</v>
      </c>
      <c r="Y174" s="81">
        <f t="shared" si="195"/>
        <v>269.1815385</v>
      </c>
    </row>
    <row r="175">
      <c r="A175" s="12"/>
      <c r="B175" s="80" t="s">
        <v>126</v>
      </c>
      <c r="C175" s="24">
        <v>30.0</v>
      </c>
      <c r="D175" s="22">
        <v>8.85</v>
      </c>
      <c r="E175" s="23">
        <f t="shared" si="181"/>
        <v>0.36875</v>
      </c>
      <c r="F175" s="22">
        <f t="shared" si="182"/>
        <v>15.15</v>
      </c>
      <c r="G175" s="23">
        <f t="shared" si="183"/>
        <v>0.63125</v>
      </c>
      <c r="H175" s="59">
        <v>0.0271408052</v>
      </c>
      <c r="I175" s="60">
        <f t="shared" si="184"/>
        <v>1677.90316</v>
      </c>
      <c r="J175" s="61">
        <f t="shared" si="185"/>
        <v>6.319785915</v>
      </c>
      <c r="K175" s="25">
        <v>5587.0</v>
      </c>
      <c r="L175" s="62">
        <f t="shared" si="186"/>
        <v>7.759722222</v>
      </c>
      <c r="M175" s="63">
        <f t="shared" si="187"/>
        <v>0.814434555</v>
      </c>
      <c r="N175" s="63">
        <f t="shared" si="188"/>
        <v>0.6996772579</v>
      </c>
      <c r="O175" s="25">
        <f t="shared" si="189"/>
        <v>3909.09684</v>
      </c>
      <c r="P175" s="25">
        <f t="shared" si="190"/>
        <v>3909.09684</v>
      </c>
      <c r="Q175" s="64">
        <f>C175*'Rate Codes'!$D$7</f>
        <v>51.76455</v>
      </c>
      <c r="R175" s="25">
        <f>P175*'Rate Codes'!$D$8</f>
        <v>50.63453136</v>
      </c>
      <c r="S175" s="81">
        <f t="shared" si="191"/>
        <v>102.3990814</v>
      </c>
      <c r="T175" s="66">
        <f>P175*'Rate Codes'!$D$8</f>
        <v>50.63453136</v>
      </c>
      <c r="U175" s="67">
        <f>(O175)*'Billing Rate'!$B$1</f>
        <v>265.8185851</v>
      </c>
      <c r="V175" s="25">
        <f t="shared" si="192"/>
        <v>153.0336127</v>
      </c>
      <c r="W175" s="81">
        <f t="shared" si="193"/>
        <v>418.8521978</v>
      </c>
      <c r="X175" s="25">
        <f t="shared" si="194"/>
        <v>20.94260989</v>
      </c>
      <c r="Y175" s="81">
        <f t="shared" si="195"/>
        <v>439.7948077</v>
      </c>
    </row>
    <row r="176">
      <c r="A176" s="12"/>
      <c r="B176" s="80" t="s">
        <v>127</v>
      </c>
      <c r="C176" s="24">
        <v>31.0</v>
      </c>
      <c r="D176" s="22">
        <v>7.9667</v>
      </c>
      <c r="E176" s="23">
        <f t="shared" si="181"/>
        <v>0.3319458333</v>
      </c>
      <c r="F176" s="22">
        <f t="shared" si="182"/>
        <v>16.0333</v>
      </c>
      <c r="G176" s="23">
        <f t="shared" si="183"/>
        <v>0.6680541667</v>
      </c>
      <c r="H176" s="59">
        <v>0.01559005293</v>
      </c>
      <c r="I176" s="60">
        <f t="shared" si="184"/>
        <v>963.810723</v>
      </c>
      <c r="J176" s="61">
        <f t="shared" si="185"/>
        <v>3.902578041</v>
      </c>
      <c r="K176" s="25">
        <v>5490.0</v>
      </c>
      <c r="L176" s="62">
        <f t="shared" si="186"/>
        <v>7.379032258</v>
      </c>
      <c r="M176" s="63">
        <f t="shared" si="187"/>
        <v>0.5288739641</v>
      </c>
      <c r="N176" s="63">
        <f t="shared" si="188"/>
        <v>0.8244424913</v>
      </c>
      <c r="O176" s="25">
        <f t="shared" si="189"/>
        <v>4526.189277</v>
      </c>
      <c r="P176" s="25">
        <f t="shared" si="190"/>
        <v>4526.189277</v>
      </c>
      <c r="Q176" s="64">
        <f>C176*'Rate Codes'!$D$7</f>
        <v>53.490035</v>
      </c>
      <c r="R176" s="25">
        <f>P176*'Rate Codes'!$D$8</f>
        <v>58.62772971</v>
      </c>
      <c r="S176" s="81">
        <f t="shared" si="191"/>
        <v>112.1177647</v>
      </c>
      <c r="T176" s="66">
        <f>P176*'Rate Codes'!$D$8</f>
        <v>58.62772971</v>
      </c>
      <c r="U176" s="67">
        <f>(O176)*'Billing Rate'!$B$1</f>
        <v>307.7808708</v>
      </c>
      <c r="V176" s="25">
        <f t="shared" si="192"/>
        <v>170.7454944</v>
      </c>
      <c r="W176" s="81">
        <f t="shared" si="193"/>
        <v>478.5263653</v>
      </c>
      <c r="X176" s="25">
        <f t="shared" si="194"/>
        <v>23.92631826</v>
      </c>
      <c r="Y176" s="81">
        <f t="shared" si="195"/>
        <v>502.4526835</v>
      </c>
    </row>
    <row r="177">
      <c r="A177" s="12"/>
      <c r="B177" s="77" t="s">
        <v>109</v>
      </c>
      <c r="C177" s="82"/>
      <c r="D177" s="83"/>
      <c r="E177" s="83"/>
      <c r="F177" s="83"/>
      <c r="G177" s="83"/>
      <c r="H177" s="83">
        <f t="shared" ref="H177:I177" si="196">SUM(H165:H176)</f>
        <v>1</v>
      </c>
      <c r="I177" s="84">
        <f t="shared" si="196"/>
        <v>61822.15848</v>
      </c>
      <c r="J177" s="84"/>
      <c r="K177" s="85">
        <f>SUM(K165:K176)</f>
        <v>66307</v>
      </c>
      <c r="L177" s="85"/>
      <c r="M177" s="85"/>
      <c r="N177" s="85"/>
      <c r="O177" s="85">
        <f t="shared" ref="O177:U177" si="197">SUM(O165:O176)</f>
        <v>4484.841519</v>
      </c>
      <c r="P177" s="48">
        <f t="shared" si="197"/>
        <v>34094.69175</v>
      </c>
      <c r="Q177" s="85">
        <f t="shared" si="197"/>
        <v>629.802025</v>
      </c>
      <c r="R177" s="85">
        <f t="shared" si="197"/>
        <v>441.6285423</v>
      </c>
      <c r="S177" s="85">
        <f t="shared" si="197"/>
        <v>1071.430567</v>
      </c>
      <c r="T177" s="85">
        <f t="shared" si="197"/>
        <v>441.6285423</v>
      </c>
      <c r="U177" s="85">
        <f t="shared" si="197"/>
        <v>304.9692233</v>
      </c>
      <c r="V177" s="48">
        <f t="shared" si="192"/>
        <v>1513.05911</v>
      </c>
      <c r="W177" s="85">
        <f t="shared" ref="W177:Y177" si="198">SUM(W165:W176)</f>
        <v>1818.028333</v>
      </c>
      <c r="X177" s="85">
        <f t="shared" si="198"/>
        <v>132.1344126</v>
      </c>
      <c r="Y177" s="85">
        <f t="shared" si="198"/>
        <v>1950.162745</v>
      </c>
    </row>
    <row r="179">
      <c r="A179" s="76">
        <v>11.0</v>
      </c>
      <c r="B179" s="12" t="s">
        <v>128</v>
      </c>
      <c r="C179" s="12"/>
      <c r="D179" s="15"/>
      <c r="E179" s="15"/>
      <c r="F179" s="15"/>
      <c r="G179" s="15"/>
      <c r="H179" s="15">
        <f>$H$1* POWER((1 -$O$1),A179)</f>
        <v>61513.04769</v>
      </c>
      <c r="I179" s="1" t="s">
        <v>132</v>
      </c>
      <c r="J179" s="1"/>
      <c r="K179" s="8">
        <f>H179/K193</f>
        <v>0.9277006604</v>
      </c>
      <c r="L179" s="8"/>
      <c r="M179" s="8"/>
      <c r="N179" s="8"/>
      <c r="O179" s="1" t="s">
        <v>133</v>
      </c>
      <c r="P179" s="6">
        <f>1-K179</f>
        <v>0.07229933962</v>
      </c>
      <c r="Q179" s="12" t="s">
        <v>74</v>
      </c>
      <c r="T179" s="12" t="s">
        <v>78</v>
      </c>
      <c r="U179" s="12"/>
      <c r="V179" s="12"/>
      <c r="W179" s="12"/>
      <c r="X179" s="12"/>
      <c r="Y179" s="12"/>
    </row>
    <row r="180">
      <c r="A180" s="12"/>
      <c r="B180" s="77" t="s">
        <v>83</v>
      </c>
      <c r="C180" s="20" t="s">
        <v>88</v>
      </c>
      <c r="D180" s="20" t="s">
        <v>84</v>
      </c>
      <c r="E180" s="20" t="s">
        <v>85</v>
      </c>
      <c r="F180" s="20" t="s">
        <v>86</v>
      </c>
      <c r="G180" s="20" t="s">
        <v>87</v>
      </c>
      <c r="H180" s="20" t="s">
        <v>134</v>
      </c>
      <c r="I180" s="44" t="s">
        <v>135</v>
      </c>
      <c r="J180" s="53" t="s">
        <v>92</v>
      </c>
      <c r="K180" s="20" t="s">
        <v>89</v>
      </c>
      <c r="L180" s="53" t="s">
        <v>90</v>
      </c>
      <c r="M180" s="53" t="s">
        <v>136</v>
      </c>
      <c r="N180" s="53" t="s">
        <v>137</v>
      </c>
      <c r="O180" s="20" t="s">
        <v>138</v>
      </c>
      <c r="P180" s="20" t="s">
        <v>139</v>
      </c>
      <c r="Q180" s="78" t="s">
        <v>76</v>
      </c>
      <c r="R180" s="78" t="s">
        <v>82</v>
      </c>
      <c r="S180" s="78" t="s">
        <v>109</v>
      </c>
      <c r="T180" s="78" t="s">
        <v>80</v>
      </c>
      <c r="U180" s="78" t="s">
        <v>67</v>
      </c>
      <c r="V180" s="45" t="s">
        <v>114</v>
      </c>
      <c r="W180" s="79" t="s">
        <v>115</v>
      </c>
      <c r="X180" s="79" t="s">
        <v>60</v>
      </c>
      <c r="Y180" s="79" t="s">
        <v>109</v>
      </c>
    </row>
    <row r="181">
      <c r="A181" s="12"/>
      <c r="B181" s="80" t="s">
        <v>117</v>
      </c>
      <c r="C181" s="24">
        <v>31.0</v>
      </c>
      <c r="D181" s="22">
        <v>8.45</v>
      </c>
      <c r="E181" s="23">
        <f t="shared" ref="E181:E192" si="199">D181/24</f>
        <v>0.3520833333</v>
      </c>
      <c r="F181" s="22">
        <f t="shared" ref="F181:F192" si="200">24-D181</f>
        <v>15.55</v>
      </c>
      <c r="G181" s="23">
        <f t="shared" ref="G181:G192" si="201">F181/24</f>
        <v>0.6479166667</v>
      </c>
      <c r="H181" s="59">
        <v>0.02731296772</v>
      </c>
      <c r="I181" s="60">
        <f t="shared" ref="I181:I192" si="202">H$179*H181</f>
        <v>1680.103886</v>
      </c>
      <c r="J181" s="61">
        <f t="shared" ref="J181:J192" si="203">I181/C181/D181</f>
        <v>6.413834266</v>
      </c>
      <c r="K181" s="25">
        <v>5726.0</v>
      </c>
      <c r="L181" s="62">
        <f t="shared" ref="L181:L192" si="204">K181/C181/24</f>
        <v>7.696236559</v>
      </c>
      <c r="M181" s="63">
        <f t="shared" ref="M181:M192" si="205">IF((J181/L181)&gt;1,1,J181/L181)</f>
        <v>0.8333728071</v>
      </c>
      <c r="N181" s="63">
        <f t="shared" ref="N181:N192" si="206">1-E181*M181</f>
        <v>0.7065833242</v>
      </c>
      <c r="O181" s="25">
        <f t="shared" ref="O181:O192" si="207">K181-I181</f>
        <v>4045.896114</v>
      </c>
      <c r="P181" s="25">
        <f t="shared" ref="P181:P192" si="208">K181*N181</f>
        <v>4045.896114</v>
      </c>
      <c r="Q181" s="64">
        <f>C181*'Rate Codes'!$D$7</f>
        <v>53.490035</v>
      </c>
      <c r="R181" s="25">
        <f>P181*'Rate Codes'!$D$8</f>
        <v>52.40649237</v>
      </c>
      <c r="S181" s="81">
        <f t="shared" ref="S181:S192" si="209">SUM(Q181:R181)</f>
        <v>105.8965274</v>
      </c>
      <c r="T181" s="66">
        <f>P181*'Rate Codes'!$D$8</f>
        <v>52.40649237</v>
      </c>
      <c r="U181" s="67">
        <f>(O181)*'Billing Rate'!$B$1</f>
        <v>275.1209358</v>
      </c>
      <c r="V181" s="25">
        <f t="shared" ref="V181:V193" si="210">S181+T181</f>
        <v>158.3030197</v>
      </c>
      <c r="W181" s="81">
        <f t="shared" ref="W181:W192" si="211">U181+S181+T181</f>
        <v>433.4239555</v>
      </c>
      <c r="X181" s="25">
        <f t="shared" ref="X181:X192" si="212">(IF(U181&gt;0,U181,0)+V181)*0.05</f>
        <v>21.67119777</v>
      </c>
      <c r="Y181" s="81">
        <f t="shared" ref="Y181:Y192" si="213">W181+X181</f>
        <v>455.0951533</v>
      </c>
    </row>
    <row r="182">
      <c r="A182" s="12"/>
      <c r="B182" s="80" t="s">
        <v>118</v>
      </c>
      <c r="C182" s="24">
        <v>28.0</v>
      </c>
      <c r="D182" s="22">
        <v>9.9167</v>
      </c>
      <c r="E182" s="23">
        <f t="shared" si="199"/>
        <v>0.4131958333</v>
      </c>
      <c r="F182" s="22">
        <f t="shared" si="200"/>
        <v>14.0833</v>
      </c>
      <c r="G182" s="23">
        <f t="shared" si="201"/>
        <v>0.5868041667</v>
      </c>
      <c r="H182" s="59">
        <v>0.04620731865</v>
      </c>
      <c r="I182" s="60">
        <f t="shared" si="202"/>
        <v>2842.352996</v>
      </c>
      <c r="J182" s="61">
        <f t="shared" si="203"/>
        <v>10.236531</v>
      </c>
      <c r="K182" s="25">
        <v>5279.0</v>
      </c>
      <c r="L182" s="62">
        <f t="shared" si="204"/>
        <v>7.855654762</v>
      </c>
      <c r="M182" s="63">
        <f t="shared" si="205"/>
        <v>1</v>
      </c>
      <c r="N182" s="63">
        <f t="shared" si="206"/>
        <v>0.5868041667</v>
      </c>
      <c r="O182" s="25">
        <f t="shared" si="207"/>
        <v>2436.647004</v>
      </c>
      <c r="P182" s="25">
        <f t="shared" si="208"/>
        <v>3097.739196</v>
      </c>
      <c r="Q182" s="64">
        <f>C182*'Rate Codes'!$D$7</f>
        <v>48.31358</v>
      </c>
      <c r="R182" s="25">
        <f>P182*'Rate Codes'!$D$8</f>
        <v>40.1250158</v>
      </c>
      <c r="S182" s="81">
        <f t="shared" si="209"/>
        <v>88.4385958</v>
      </c>
      <c r="T182" s="66">
        <f>P182*'Rate Codes'!$D$8</f>
        <v>40.1250158</v>
      </c>
      <c r="U182" s="67">
        <f>(O182)*'Billing Rate'!$B$1</f>
        <v>165.6919963</v>
      </c>
      <c r="V182" s="25">
        <f t="shared" si="210"/>
        <v>128.5636116</v>
      </c>
      <c r="W182" s="81">
        <f t="shared" si="211"/>
        <v>294.2556079</v>
      </c>
      <c r="X182" s="25">
        <f t="shared" si="212"/>
        <v>14.7127804</v>
      </c>
      <c r="Y182" s="81">
        <f t="shared" si="213"/>
        <v>308.9683883</v>
      </c>
    </row>
    <row r="183">
      <c r="A183" s="12"/>
      <c r="B183" s="80" t="s">
        <v>119</v>
      </c>
      <c r="C183" s="24">
        <v>31.0</v>
      </c>
      <c r="D183" s="22">
        <v>11.8</v>
      </c>
      <c r="E183" s="23">
        <f t="shared" si="199"/>
        <v>0.4916666667</v>
      </c>
      <c r="F183" s="22">
        <f t="shared" si="200"/>
        <v>12.2</v>
      </c>
      <c r="G183" s="23">
        <f t="shared" si="201"/>
        <v>0.5083333333</v>
      </c>
      <c r="H183" s="59">
        <v>0.08500831624</v>
      </c>
      <c r="I183" s="60">
        <f t="shared" si="202"/>
        <v>5229.120611</v>
      </c>
      <c r="J183" s="61">
        <f t="shared" si="203"/>
        <v>14.29502627</v>
      </c>
      <c r="K183" s="25">
        <v>4991.0</v>
      </c>
      <c r="L183" s="62">
        <f t="shared" si="204"/>
        <v>6.708333333</v>
      </c>
      <c r="M183" s="63">
        <f t="shared" si="205"/>
        <v>1</v>
      </c>
      <c r="N183" s="63">
        <f t="shared" si="206"/>
        <v>0.5083333333</v>
      </c>
      <c r="O183" s="25">
        <f t="shared" si="207"/>
        <v>-238.1206107</v>
      </c>
      <c r="P183" s="25">
        <f t="shared" si="208"/>
        <v>2537.091667</v>
      </c>
      <c r="Q183" s="64">
        <f>C183*'Rate Codes'!$D$7</f>
        <v>53.490035</v>
      </c>
      <c r="R183" s="25">
        <f>P183*'Rate Codes'!$D$8</f>
        <v>32.86294836</v>
      </c>
      <c r="S183" s="81">
        <f t="shared" si="209"/>
        <v>86.35298336</v>
      </c>
      <c r="T183" s="66">
        <f>P183*'Rate Codes'!$D$8</f>
        <v>32.86294836</v>
      </c>
      <c r="U183" s="67">
        <f>(O183)*'Billing Rate'!$B$1</f>
        <v>-16.19220153</v>
      </c>
      <c r="V183" s="25">
        <f t="shared" si="210"/>
        <v>119.2159317</v>
      </c>
      <c r="W183" s="81">
        <f t="shared" si="211"/>
        <v>103.0237302</v>
      </c>
      <c r="X183" s="25">
        <f t="shared" si="212"/>
        <v>5.960796586</v>
      </c>
      <c r="Y183" s="81">
        <f t="shared" si="213"/>
        <v>108.9845268</v>
      </c>
    </row>
    <row r="184">
      <c r="A184" s="12"/>
      <c r="B184" s="80" t="s">
        <v>120</v>
      </c>
      <c r="C184" s="24">
        <v>30.0</v>
      </c>
      <c r="D184" s="22">
        <v>13.8</v>
      </c>
      <c r="E184" s="23">
        <f t="shared" si="199"/>
        <v>0.575</v>
      </c>
      <c r="F184" s="22">
        <f t="shared" si="200"/>
        <v>10.2</v>
      </c>
      <c r="G184" s="23">
        <f t="shared" si="201"/>
        <v>0.425</v>
      </c>
      <c r="H184" s="59">
        <v>0.108773175</v>
      </c>
      <c r="I184" s="60">
        <f t="shared" si="202"/>
        <v>6690.969501</v>
      </c>
      <c r="J184" s="61">
        <f t="shared" si="203"/>
        <v>16.16176208</v>
      </c>
      <c r="K184" s="25">
        <v>4952.0</v>
      </c>
      <c r="L184" s="62">
        <f t="shared" si="204"/>
        <v>6.877777778</v>
      </c>
      <c r="M184" s="63">
        <f t="shared" si="205"/>
        <v>1</v>
      </c>
      <c r="N184" s="63">
        <f t="shared" si="206"/>
        <v>0.425</v>
      </c>
      <c r="O184" s="25">
        <f t="shared" si="207"/>
        <v>-1738.969501</v>
      </c>
      <c r="P184" s="25">
        <f t="shared" si="208"/>
        <v>2104.6</v>
      </c>
      <c r="Q184" s="64">
        <f>C184*'Rate Codes'!$D$7</f>
        <v>51.76455</v>
      </c>
      <c r="R184" s="25">
        <f>P184*'Rate Codes'!$D$8</f>
        <v>27.2608838</v>
      </c>
      <c r="S184" s="81">
        <f t="shared" si="209"/>
        <v>79.0254338</v>
      </c>
      <c r="T184" s="66">
        <f>P184*'Rate Codes'!$D$8</f>
        <v>27.2608838</v>
      </c>
      <c r="U184" s="67">
        <f>(O184)*'Billing Rate'!$B$1</f>
        <v>-118.2499261</v>
      </c>
      <c r="V184" s="25">
        <f t="shared" si="210"/>
        <v>106.2863176</v>
      </c>
      <c r="W184" s="81">
        <f t="shared" si="211"/>
        <v>-11.96360846</v>
      </c>
      <c r="X184" s="25">
        <f t="shared" si="212"/>
        <v>5.31431588</v>
      </c>
      <c r="Y184" s="81">
        <f t="shared" si="213"/>
        <v>-6.649292584</v>
      </c>
    </row>
    <row r="185">
      <c r="A185" s="12"/>
      <c r="B185" s="80" t="s">
        <v>98</v>
      </c>
      <c r="C185" s="24">
        <v>31.0</v>
      </c>
      <c r="D185" s="22">
        <v>15.5333</v>
      </c>
      <c r="E185" s="23">
        <f t="shared" si="199"/>
        <v>0.6472208333</v>
      </c>
      <c r="F185" s="22">
        <f t="shared" si="200"/>
        <v>8.4667</v>
      </c>
      <c r="G185" s="23">
        <f t="shared" si="201"/>
        <v>0.3527791667</v>
      </c>
      <c r="H185" s="59">
        <v>0.1281742617</v>
      </c>
      <c r="I185" s="60">
        <f t="shared" si="202"/>
        <v>7884.389472</v>
      </c>
      <c r="J185" s="61">
        <f t="shared" si="203"/>
        <v>16.37354228</v>
      </c>
      <c r="K185" s="25">
        <v>5559.0</v>
      </c>
      <c r="L185" s="62">
        <f t="shared" si="204"/>
        <v>7.471774194</v>
      </c>
      <c r="M185" s="63">
        <f t="shared" si="205"/>
        <v>1</v>
      </c>
      <c r="N185" s="63">
        <f t="shared" si="206"/>
        <v>0.3527791667</v>
      </c>
      <c r="O185" s="25">
        <f t="shared" si="207"/>
        <v>-2325.389472</v>
      </c>
      <c r="P185" s="25">
        <f t="shared" si="208"/>
        <v>1961.099388</v>
      </c>
      <c r="Q185" s="64">
        <f>C185*'Rate Codes'!$D$7</f>
        <v>53.490035</v>
      </c>
      <c r="R185" s="25">
        <f>P185*'Rate Codes'!$D$8</f>
        <v>25.40212037</v>
      </c>
      <c r="S185" s="81">
        <f t="shared" si="209"/>
        <v>78.89215537</v>
      </c>
      <c r="T185" s="66">
        <f>P185*'Rate Codes'!$D$8</f>
        <v>25.40212037</v>
      </c>
      <c r="U185" s="67">
        <f>(O185)*'Billing Rate'!$B$1</f>
        <v>-158.1264841</v>
      </c>
      <c r="V185" s="25">
        <f t="shared" si="210"/>
        <v>104.2942757</v>
      </c>
      <c r="W185" s="81">
        <f t="shared" si="211"/>
        <v>-53.83220838</v>
      </c>
      <c r="X185" s="25">
        <f t="shared" si="212"/>
        <v>5.214713787</v>
      </c>
      <c r="Y185" s="81">
        <f t="shared" si="213"/>
        <v>-48.6174946</v>
      </c>
    </row>
    <row r="186">
      <c r="A186" s="12"/>
      <c r="B186" s="80" t="s">
        <v>121</v>
      </c>
      <c r="C186" s="24">
        <v>30.0</v>
      </c>
      <c r="D186" s="22">
        <v>16.4667</v>
      </c>
      <c r="E186" s="23">
        <f t="shared" si="199"/>
        <v>0.6861125</v>
      </c>
      <c r="F186" s="22">
        <f t="shared" si="200"/>
        <v>7.5333</v>
      </c>
      <c r="G186" s="23">
        <f t="shared" si="201"/>
        <v>0.3138875</v>
      </c>
      <c r="H186" s="59">
        <v>0.1254860808</v>
      </c>
      <c r="I186" s="60">
        <f t="shared" si="202"/>
        <v>7719.031272</v>
      </c>
      <c r="J186" s="61">
        <f t="shared" si="203"/>
        <v>15.62553775</v>
      </c>
      <c r="K186" s="25">
        <v>4964.0</v>
      </c>
      <c r="L186" s="62">
        <f t="shared" si="204"/>
        <v>6.894444444</v>
      </c>
      <c r="M186" s="63">
        <f t="shared" si="205"/>
        <v>1</v>
      </c>
      <c r="N186" s="63">
        <f t="shared" si="206"/>
        <v>0.3138875</v>
      </c>
      <c r="O186" s="25">
        <f t="shared" si="207"/>
        <v>-2755.031272</v>
      </c>
      <c r="P186" s="25">
        <f t="shared" si="208"/>
        <v>1558.13755</v>
      </c>
      <c r="Q186" s="64">
        <f>C186*'Rate Codes'!$D$7</f>
        <v>51.76455</v>
      </c>
      <c r="R186" s="25">
        <f>P186*'Rate Codes'!$D$8</f>
        <v>20.18255569</v>
      </c>
      <c r="S186" s="81">
        <f t="shared" si="209"/>
        <v>71.94710569</v>
      </c>
      <c r="T186" s="66">
        <f>P186*'Rate Codes'!$D$8</f>
        <v>20.18255569</v>
      </c>
      <c r="U186" s="67">
        <f>(O186)*'Billing Rate'!$B$1</f>
        <v>-187.3421265</v>
      </c>
      <c r="V186" s="25">
        <f t="shared" si="210"/>
        <v>92.12966137</v>
      </c>
      <c r="W186" s="81">
        <f t="shared" si="211"/>
        <v>-95.21246515</v>
      </c>
      <c r="X186" s="25">
        <f t="shared" si="212"/>
        <v>4.606483069</v>
      </c>
      <c r="Y186" s="81">
        <f t="shared" si="213"/>
        <v>-90.60598209</v>
      </c>
    </row>
    <row r="187">
      <c r="A187" s="12"/>
      <c r="B187" s="80" t="s">
        <v>122</v>
      </c>
      <c r="C187" s="24">
        <v>31.0</v>
      </c>
      <c r="D187" s="22">
        <v>16.05</v>
      </c>
      <c r="E187" s="23">
        <f t="shared" si="199"/>
        <v>0.66875</v>
      </c>
      <c r="F187" s="22">
        <f t="shared" si="200"/>
        <v>7.95</v>
      </c>
      <c r="G187" s="23">
        <f t="shared" si="201"/>
        <v>0.33125</v>
      </c>
      <c r="H187" s="59">
        <v>0.1449493112</v>
      </c>
      <c r="I187" s="60">
        <f t="shared" si="202"/>
        <v>8916.273892</v>
      </c>
      <c r="J187" s="61">
        <f t="shared" si="203"/>
        <v>17.92035754</v>
      </c>
      <c r="K187" s="25">
        <v>6634.0</v>
      </c>
      <c r="L187" s="62">
        <f t="shared" si="204"/>
        <v>8.916666667</v>
      </c>
      <c r="M187" s="63">
        <f t="shared" si="205"/>
        <v>1</v>
      </c>
      <c r="N187" s="63">
        <f t="shared" si="206"/>
        <v>0.33125</v>
      </c>
      <c r="O187" s="25">
        <f t="shared" si="207"/>
        <v>-2282.273892</v>
      </c>
      <c r="P187" s="25">
        <f t="shared" si="208"/>
        <v>2197.5125</v>
      </c>
      <c r="Q187" s="64">
        <f>C187*'Rate Codes'!$D$7</f>
        <v>53.490035</v>
      </c>
      <c r="R187" s="25">
        <f>P187*'Rate Codes'!$D$8</f>
        <v>28.46437941</v>
      </c>
      <c r="S187" s="81">
        <f t="shared" si="209"/>
        <v>81.95441441</v>
      </c>
      <c r="T187" s="66">
        <f>P187*'Rate Codes'!$D$8</f>
        <v>28.46437941</v>
      </c>
      <c r="U187" s="67">
        <f>(O187)*'Billing Rate'!$B$1</f>
        <v>-155.1946247</v>
      </c>
      <c r="V187" s="25">
        <f t="shared" si="210"/>
        <v>110.4187938</v>
      </c>
      <c r="W187" s="81">
        <f t="shared" si="211"/>
        <v>-44.77583084</v>
      </c>
      <c r="X187" s="25">
        <f t="shared" si="212"/>
        <v>5.520939691</v>
      </c>
      <c r="Y187" s="81">
        <f t="shared" si="213"/>
        <v>-39.25489115</v>
      </c>
    </row>
    <row r="188">
      <c r="A188" s="12"/>
      <c r="B188" s="80" t="s">
        <v>123</v>
      </c>
      <c r="C188" s="24">
        <v>31.0</v>
      </c>
      <c r="D188" s="22">
        <v>14.5167</v>
      </c>
      <c r="E188" s="23">
        <f t="shared" si="199"/>
        <v>0.6048625</v>
      </c>
      <c r="F188" s="22">
        <f t="shared" si="200"/>
        <v>9.4833</v>
      </c>
      <c r="G188" s="23">
        <f t="shared" si="201"/>
        <v>0.3951375</v>
      </c>
      <c r="H188" s="59">
        <v>0.1246952409</v>
      </c>
      <c r="I188" s="60">
        <f t="shared" si="202"/>
        <v>7670.3843</v>
      </c>
      <c r="J188" s="61">
        <f t="shared" si="203"/>
        <v>17.04462802</v>
      </c>
      <c r="K188" s="25">
        <v>5909.0</v>
      </c>
      <c r="L188" s="62">
        <f t="shared" si="204"/>
        <v>7.942204301</v>
      </c>
      <c r="M188" s="63">
        <f t="shared" si="205"/>
        <v>1</v>
      </c>
      <c r="N188" s="63">
        <f t="shared" si="206"/>
        <v>0.3951375</v>
      </c>
      <c r="O188" s="25">
        <f t="shared" si="207"/>
        <v>-1761.3843</v>
      </c>
      <c r="P188" s="25">
        <f t="shared" si="208"/>
        <v>2334.867488</v>
      </c>
      <c r="Q188" s="64">
        <f>C188*'Rate Codes'!$D$7</f>
        <v>53.490035</v>
      </c>
      <c r="R188" s="25">
        <f>P188*'Rate Codes'!$D$8</f>
        <v>30.24353857</v>
      </c>
      <c r="S188" s="81">
        <f t="shared" si="209"/>
        <v>83.73357357</v>
      </c>
      <c r="T188" s="66">
        <f>P188*'Rate Codes'!$D$8</f>
        <v>30.24353857</v>
      </c>
      <c r="U188" s="67">
        <f>(O188)*'Billing Rate'!$B$1</f>
        <v>-119.7741324</v>
      </c>
      <c r="V188" s="25">
        <f t="shared" si="210"/>
        <v>113.9771121</v>
      </c>
      <c r="W188" s="81">
        <f t="shared" si="211"/>
        <v>-5.797020264</v>
      </c>
      <c r="X188" s="25">
        <f t="shared" si="212"/>
        <v>5.698855607</v>
      </c>
      <c r="Y188" s="81">
        <f t="shared" si="213"/>
        <v>-0.09816465768</v>
      </c>
    </row>
    <row r="189">
      <c r="A189" s="12"/>
      <c r="B189" s="80" t="s">
        <v>124</v>
      </c>
      <c r="C189" s="24">
        <v>30.0</v>
      </c>
      <c r="D189" s="22">
        <v>12.5833</v>
      </c>
      <c r="E189" s="23">
        <f t="shared" si="199"/>
        <v>0.5243041667</v>
      </c>
      <c r="F189" s="22">
        <f t="shared" si="200"/>
        <v>11.4167</v>
      </c>
      <c r="G189" s="23">
        <f t="shared" si="201"/>
        <v>0.4756958333</v>
      </c>
      <c r="H189" s="59">
        <v>0.09825803101</v>
      </c>
      <c r="I189" s="60">
        <f t="shared" si="202"/>
        <v>6044.150947</v>
      </c>
      <c r="J189" s="61">
        <f t="shared" si="203"/>
        <v>16.0110383</v>
      </c>
      <c r="K189" s="25">
        <v>5270.0</v>
      </c>
      <c r="L189" s="62">
        <f t="shared" si="204"/>
        <v>7.319444444</v>
      </c>
      <c r="M189" s="63">
        <f t="shared" si="205"/>
        <v>1</v>
      </c>
      <c r="N189" s="63">
        <f t="shared" si="206"/>
        <v>0.4756958333</v>
      </c>
      <c r="O189" s="25">
        <f t="shared" si="207"/>
        <v>-774.1509472</v>
      </c>
      <c r="P189" s="25">
        <f t="shared" si="208"/>
        <v>2506.917042</v>
      </c>
      <c r="Q189" s="64">
        <f>C189*'Rate Codes'!$D$7</f>
        <v>51.76455</v>
      </c>
      <c r="R189" s="25">
        <f>P189*'Rate Codes'!$D$8</f>
        <v>32.47209644</v>
      </c>
      <c r="S189" s="81">
        <f t="shared" si="209"/>
        <v>84.23664644</v>
      </c>
      <c r="T189" s="66">
        <f>P189*'Rate Codes'!$D$8</f>
        <v>32.47209644</v>
      </c>
      <c r="U189" s="67">
        <f>(O189)*'Billing Rate'!$B$1</f>
        <v>-52.64226441</v>
      </c>
      <c r="V189" s="25">
        <f t="shared" si="210"/>
        <v>116.7087429</v>
      </c>
      <c r="W189" s="81">
        <f t="shared" si="211"/>
        <v>64.06647847</v>
      </c>
      <c r="X189" s="25">
        <f t="shared" si="212"/>
        <v>5.835437144</v>
      </c>
      <c r="Y189" s="81">
        <f t="shared" si="213"/>
        <v>69.90191561</v>
      </c>
    </row>
    <row r="190">
      <c r="A190" s="12"/>
      <c r="B190" s="80" t="s">
        <v>125</v>
      </c>
      <c r="C190" s="24">
        <v>31.0</v>
      </c>
      <c r="D190" s="22">
        <v>10.5833</v>
      </c>
      <c r="E190" s="23">
        <f t="shared" si="199"/>
        <v>0.4409708333</v>
      </c>
      <c r="F190" s="22">
        <f t="shared" si="200"/>
        <v>13.4167</v>
      </c>
      <c r="G190" s="23">
        <f t="shared" si="201"/>
        <v>0.5590291667</v>
      </c>
      <c r="H190" s="59">
        <v>0.06840443866</v>
      </c>
      <c r="I190" s="60">
        <f t="shared" si="202"/>
        <v>4207.765497</v>
      </c>
      <c r="J190" s="61">
        <f t="shared" si="203"/>
        <v>12.82533528</v>
      </c>
      <c r="K190" s="25">
        <v>5946.0</v>
      </c>
      <c r="L190" s="62">
        <f t="shared" si="204"/>
        <v>7.991935484</v>
      </c>
      <c r="M190" s="63">
        <f t="shared" si="205"/>
        <v>1</v>
      </c>
      <c r="N190" s="63">
        <f t="shared" si="206"/>
        <v>0.5590291667</v>
      </c>
      <c r="O190" s="25">
        <f t="shared" si="207"/>
        <v>1738.234503</v>
      </c>
      <c r="P190" s="25">
        <f t="shared" si="208"/>
        <v>3323.987425</v>
      </c>
      <c r="Q190" s="64">
        <f>C190*'Rate Codes'!$D$7</f>
        <v>53.490035</v>
      </c>
      <c r="R190" s="25">
        <f>P190*'Rate Codes'!$D$8</f>
        <v>43.05560912</v>
      </c>
      <c r="S190" s="81">
        <f t="shared" si="209"/>
        <v>96.54564412</v>
      </c>
      <c r="T190" s="66">
        <f>P190*'Rate Codes'!$D$8</f>
        <v>43.05560912</v>
      </c>
      <c r="U190" s="67">
        <f>(O190)*'Billing Rate'!$B$1</f>
        <v>118.1999462</v>
      </c>
      <c r="V190" s="25">
        <f t="shared" si="210"/>
        <v>139.6012532</v>
      </c>
      <c r="W190" s="81">
        <f t="shared" si="211"/>
        <v>257.8011994</v>
      </c>
      <c r="X190" s="25">
        <f t="shared" si="212"/>
        <v>12.89005997</v>
      </c>
      <c r="Y190" s="81">
        <f t="shared" si="213"/>
        <v>270.6912594</v>
      </c>
    </row>
    <row r="191">
      <c r="A191" s="12"/>
      <c r="B191" s="80" t="s">
        <v>126</v>
      </c>
      <c r="C191" s="24">
        <v>30.0</v>
      </c>
      <c r="D191" s="22">
        <v>8.85</v>
      </c>
      <c r="E191" s="23">
        <f t="shared" si="199"/>
        <v>0.36875</v>
      </c>
      <c r="F191" s="22">
        <f t="shared" si="200"/>
        <v>15.15</v>
      </c>
      <c r="G191" s="23">
        <f t="shared" si="201"/>
        <v>0.63125</v>
      </c>
      <c r="H191" s="59">
        <v>0.0271408052</v>
      </c>
      <c r="I191" s="60">
        <f t="shared" si="202"/>
        <v>1669.513645</v>
      </c>
      <c r="J191" s="61">
        <f t="shared" si="203"/>
        <v>6.288186985</v>
      </c>
      <c r="K191" s="25">
        <v>5587.0</v>
      </c>
      <c r="L191" s="62">
        <f t="shared" si="204"/>
        <v>7.759722222</v>
      </c>
      <c r="M191" s="63">
        <f t="shared" si="205"/>
        <v>0.8103623822</v>
      </c>
      <c r="N191" s="63">
        <f t="shared" si="206"/>
        <v>0.7011788716</v>
      </c>
      <c r="O191" s="25">
        <f t="shared" si="207"/>
        <v>3917.486355</v>
      </c>
      <c r="P191" s="25">
        <f t="shared" si="208"/>
        <v>3917.486355</v>
      </c>
      <c r="Q191" s="64">
        <f>C191*'Rate Codes'!$D$7</f>
        <v>51.76455</v>
      </c>
      <c r="R191" s="25">
        <f>P191*'Rate Codes'!$D$8</f>
        <v>50.74320076</v>
      </c>
      <c r="S191" s="81">
        <f t="shared" si="209"/>
        <v>102.5077508</v>
      </c>
      <c r="T191" s="66">
        <f>P191*'Rate Codes'!$D$8</f>
        <v>50.74320076</v>
      </c>
      <c r="U191" s="67">
        <f>(O191)*'Billing Rate'!$B$1</f>
        <v>266.3890722</v>
      </c>
      <c r="V191" s="25">
        <f t="shared" si="210"/>
        <v>153.2509515</v>
      </c>
      <c r="W191" s="81">
        <f t="shared" si="211"/>
        <v>419.6400237</v>
      </c>
      <c r="X191" s="25">
        <f t="shared" si="212"/>
        <v>20.98200118</v>
      </c>
      <c r="Y191" s="81">
        <f t="shared" si="213"/>
        <v>440.6220249</v>
      </c>
    </row>
    <row r="192">
      <c r="A192" s="12"/>
      <c r="B192" s="80" t="s">
        <v>127</v>
      </c>
      <c r="C192" s="24">
        <v>31.0</v>
      </c>
      <c r="D192" s="22">
        <v>7.9667</v>
      </c>
      <c r="E192" s="23">
        <f t="shared" si="199"/>
        <v>0.3319458333</v>
      </c>
      <c r="F192" s="22">
        <f t="shared" si="200"/>
        <v>16.0333</v>
      </c>
      <c r="G192" s="23">
        <f t="shared" si="201"/>
        <v>0.6680541667</v>
      </c>
      <c r="H192" s="59">
        <v>0.01559005293</v>
      </c>
      <c r="I192" s="60">
        <f t="shared" si="202"/>
        <v>958.9916693</v>
      </c>
      <c r="J192" s="61">
        <f t="shared" si="203"/>
        <v>3.883065151</v>
      </c>
      <c r="K192" s="25">
        <v>5490.0</v>
      </c>
      <c r="L192" s="62">
        <f t="shared" si="204"/>
        <v>7.379032258</v>
      </c>
      <c r="M192" s="63">
        <f t="shared" si="205"/>
        <v>0.5262295943</v>
      </c>
      <c r="N192" s="63">
        <f t="shared" si="206"/>
        <v>0.8253202788</v>
      </c>
      <c r="O192" s="25">
        <f t="shared" si="207"/>
        <v>4531.008331</v>
      </c>
      <c r="P192" s="25">
        <f t="shared" si="208"/>
        <v>4531.008331</v>
      </c>
      <c r="Q192" s="64">
        <f>C192*'Rate Codes'!$D$7</f>
        <v>53.490035</v>
      </c>
      <c r="R192" s="25">
        <f>P192*'Rate Codes'!$D$8</f>
        <v>58.69015091</v>
      </c>
      <c r="S192" s="81">
        <f t="shared" si="209"/>
        <v>112.1801859</v>
      </c>
      <c r="T192" s="66">
        <f>P192*'Rate Codes'!$D$8</f>
        <v>58.69015091</v>
      </c>
      <c r="U192" s="67">
        <f>(O192)*'Billing Rate'!$B$1</f>
        <v>308.1085665</v>
      </c>
      <c r="V192" s="25">
        <f t="shared" si="210"/>
        <v>170.8703368</v>
      </c>
      <c r="W192" s="81">
        <f t="shared" si="211"/>
        <v>478.9789033</v>
      </c>
      <c r="X192" s="25">
        <f t="shared" si="212"/>
        <v>23.94894516</v>
      </c>
      <c r="Y192" s="81">
        <f t="shared" si="213"/>
        <v>502.9278485</v>
      </c>
    </row>
    <row r="193">
      <c r="A193" s="12"/>
      <c r="B193" s="77" t="s">
        <v>109</v>
      </c>
      <c r="C193" s="82"/>
      <c r="D193" s="83"/>
      <c r="E193" s="83"/>
      <c r="F193" s="83"/>
      <c r="G193" s="83"/>
      <c r="H193" s="83">
        <f t="shared" ref="H193:I193" si="214">SUM(H181:H192)</f>
        <v>1</v>
      </c>
      <c r="I193" s="84">
        <f t="shared" si="214"/>
        <v>61513.04769</v>
      </c>
      <c r="J193" s="84"/>
      <c r="K193" s="85">
        <f>SUM(K181:K192)</f>
        <v>66307</v>
      </c>
      <c r="L193" s="85"/>
      <c r="M193" s="85"/>
      <c r="N193" s="85"/>
      <c r="O193" s="85">
        <f t="shared" ref="O193:U193" si="215">SUM(O181:O192)</f>
        <v>4793.952312</v>
      </c>
      <c r="P193" s="48">
        <f t="shared" si="215"/>
        <v>34116.34305</v>
      </c>
      <c r="Q193" s="85">
        <f t="shared" si="215"/>
        <v>629.802025</v>
      </c>
      <c r="R193" s="85">
        <f t="shared" si="215"/>
        <v>441.9089916</v>
      </c>
      <c r="S193" s="85">
        <f t="shared" si="215"/>
        <v>1071.711017</v>
      </c>
      <c r="T193" s="85">
        <f t="shared" si="215"/>
        <v>441.9089916</v>
      </c>
      <c r="U193" s="85">
        <f t="shared" si="215"/>
        <v>325.9887572</v>
      </c>
      <c r="V193" s="48">
        <f t="shared" si="210"/>
        <v>1513.620008</v>
      </c>
      <c r="W193" s="85">
        <f t="shared" ref="W193:Y193" si="216">SUM(W181:W192)</f>
        <v>1839.608765</v>
      </c>
      <c r="X193" s="85">
        <f t="shared" si="216"/>
        <v>132.3565263</v>
      </c>
      <c r="Y193" s="85">
        <f t="shared" si="216"/>
        <v>1971.965292</v>
      </c>
    </row>
    <row r="195">
      <c r="A195" s="76">
        <v>12.0</v>
      </c>
      <c r="B195" s="12" t="s">
        <v>128</v>
      </c>
      <c r="C195" s="12"/>
      <c r="D195" s="15"/>
      <c r="E195" s="15"/>
      <c r="F195" s="15"/>
      <c r="G195" s="15"/>
      <c r="H195" s="15">
        <f>$H$1* POWER((1 -$O$1),A195)</f>
        <v>61205.48245</v>
      </c>
      <c r="I195" s="1" t="s">
        <v>132</v>
      </c>
      <c r="J195" s="1"/>
      <c r="K195" s="8">
        <f>H195/K209</f>
        <v>0.9230621571</v>
      </c>
      <c r="L195" s="8"/>
      <c r="M195" s="8"/>
      <c r="N195" s="8"/>
      <c r="O195" s="1" t="s">
        <v>133</v>
      </c>
      <c r="P195" s="6">
        <f>1-K195</f>
        <v>0.07693784292</v>
      </c>
      <c r="Q195" s="12" t="s">
        <v>74</v>
      </c>
      <c r="T195" s="12" t="s">
        <v>78</v>
      </c>
      <c r="U195" s="12"/>
      <c r="V195" s="12"/>
      <c r="W195" s="12"/>
      <c r="X195" s="12"/>
      <c r="Y195" s="12"/>
    </row>
    <row r="196">
      <c r="A196" s="12"/>
      <c r="B196" s="77" t="s">
        <v>83</v>
      </c>
      <c r="C196" s="20" t="s">
        <v>88</v>
      </c>
      <c r="D196" s="20" t="s">
        <v>84</v>
      </c>
      <c r="E196" s="20" t="s">
        <v>85</v>
      </c>
      <c r="F196" s="20" t="s">
        <v>86</v>
      </c>
      <c r="G196" s="20" t="s">
        <v>87</v>
      </c>
      <c r="H196" s="20" t="s">
        <v>134</v>
      </c>
      <c r="I196" s="44" t="s">
        <v>135</v>
      </c>
      <c r="J196" s="53" t="s">
        <v>92</v>
      </c>
      <c r="K196" s="20" t="s">
        <v>89</v>
      </c>
      <c r="L196" s="53" t="s">
        <v>90</v>
      </c>
      <c r="M196" s="53" t="s">
        <v>136</v>
      </c>
      <c r="N196" s="53" t="s">
        <v>137</v>
      </c>
      <c r="O196" s="20" t="s">
        <v>138</v>
      </c>
      <c r="P196" s="20" t="s">
        <v>139</v>
      </c>
      <c r="Q196" s="78" t="s">
        <v>76</v>
      </c>
      <c r="R196" s="78" t="s">
        <v>82</v>
      </c>
      <c r="S196" s="78" t="s">
        <v>109</v>
      </c>
      <c r="T196" s="78" t="s">
        <v>80</v>
      </c>
      <c r="U196" s="78" t="s">
        <v>67</v>
      </c>
      <c r="V196" s="45" t="s">
        <v>114</v>
      </c>
      <c r="W196" s="79" t="s">
        <v>115</v>
      </c>
      <c r="X196" s="79" t="s">
        <v>60</v>
      </c>
      <c r="Y196" s="79" t="s">
        <v>109</v>
      </c>
    </row>
    <row r="197">
      <c r="A197" s="12"/>
      <c r="B197" s="80" t="s">
        <v>117</v>
      </c>
      <c r="C197" s="24">
        <v>31.0</v>
      </c>
      <c r="D197" s="22">
        <v>8.45</v>
      </c>
      <c r="E197" s="23">
        <f t="shared" ref="E197:E208" si="217">D197/24</f>
        <v>0.3520833333</v>
      </c>
      <c r="F197" s="22">
        <f t="shared" ref="F197:F208" si="218">24-D197</f>
        <v>15.55</v>
      </c>
      <c r="G197" s="23">
        <f t="shared" ref="G197:G208" si="219">F197/24</f>
        <v>0.6479166667</v>
      </c>
      <c r="H197" s="59">
        <v>0.02731296772</v>
      </c>
      <c r="I197" s="60">
        <f t="shared" ref="I197:I208" si="220">H$195*H197</f>
        <v>1671.703366</v>
      </c>
      <c r="J197" s="61">
        <f t="shared" ref="J197:J208" si="221">I197/C197/D197</f>
        <v>6.381765094</v>
      </c>
      <c r="K197" s="25">
        <v>5726.0</v>
      </c>
      <c r="L197" s="62">
        <f t="shared" ref="L197:L208" si="222">K197/C197/24</f>
        <v>7.696236559</v>
      </c>
      <c r="M197" s="63">
        <f t="shared" ref="M197:M208" si="223">IF((J197/L197)&gt;1,1,J197/L197)</f>
        <v>0.8292059431</v>
      </c>
      <c r="N197" s="63">
        <f t="shared" ref="N197:N208" si="224">1-E197*M197</f>
        <v>0.7080504075</v>
      </c>
      <c r="O197" s="25">
        <f t="shared" ref="O197:O208" si="225">K197-I197</f>
        <v>4054.296634</v>
      </c>
      <c r="P197" s="25">
        <f t="shared" ref="P197:P208" si="226">K197*N197</f>
        <v>4054.296634</v>
      </c>
      <c r="Q197" s="64">
        <f>C197*'Rate Codes'!$D$7</f>
        <v>53.490035</v>
      </c>
      <c r="R197" s="25">
        <f>P197*'Rate Codes'!$D$8</f>
        <v>52.51530429</v>
      </c>
      <c r="S197" s="81">
        <f t="shared" ref="S197:S208" si="227">SUM(Q197:R197)</f>
        <v>106.0053393</v>
      </c>
      <c r="T197" s="66">
        <f>P197*'Rate Codes'!$D$8</f>
        <v>52.51530429</v>
      </c>
      <c r="U197" s="67">
        <f>(O197)*'Billing Rate'!$B$1</f>
        <v>275.6921711</v>
      </c>
      <c r="V197" s="25">
        <f t="shared" ref="V197:V209" si="228">S197+T197</f>
        <v>158.5206436</v>
      </c>
      <c r="W197" s="81">
        <f t="shared" ref="W197:W208" si="229">U197+S197+T197</f>
        <v>434.2128147</v>
      </c>
      <c r="X197" s="25">
        <f t="shared" ref="X197:X208" si="230">(IF(U197&gt;0,U197,0)+V197)*0.05</f>
        <v>21.71064073</v>
      </c>
      <c r="Y197" s="81">
        <f t="shared" ref="Y197:Y208" si="231">W197+X197</f>
        <v>455.9234554</v>
      </c>
    </row>
    <row r="198">
      <c r="A198" s="12"/>
      <c r="B198" s="80" t="s">
        <v>118</v>
      </c>
      <c r="C198" s="24">
        <v>28.0</v>
      </c>
      <c r="D198" s="22">
        <v>9.9167</v>
      </c>
      <c r="E198" s="23">
        <f t="shared" si="217"/>
        <v>0.4131958333</v>
      </c>
      <c r="F198" s="22">
        <f t="shared" si="218"/>
        <v>14.0833</v>
      </c>
      <c r="G198" s="23">
        <f t="shared" si="219"/>
        <v>0.5868041667</v>
      </c>
      <c r="H198" s="59">
        <v>0.04620731865</v>
      </c>
      <c r="I198" s="60">
        <f t="shared" si="220"/>
        <v>2828.141231</v>
      </c>
      <c r="J198" s="61">
        <f t="shared" si="221"/>
        <v>10.18534835</v>
      </c>
      <c r="K198" s="25">
        <v>5279.0</v>
      </c>
      <c r="L198" s="62">
        <f t="shared" si="222"/>
        <v>7.855654762</v>
      </c>
      <c r="M198" s="63">
        <f t="shared" si="223"/>
        <v>1</v>
      </c>
      <c r="N198" s="63">
        <f t="shared" si="224"/>
        <v>0.5868041667</v>
      </c>
      <c r="O198" s="25">
        <f t="shared" si="225"/>
        <v>2450.858769</v>
      </c>
      <c r="P198" s="25">
        <f t="shared" si="226"/>
        <v>3097.739196</v>
      </c>
      <c r="Q198" s="64">
        <f>C198*'Rate Codes'!$D$7</f>
        <v>48.31358</v>
      </c>
      <c r="R198" s="25">
        <f>P198*'Rate Codes'!$D$8</f>
        <v>40.1250158</v>
      </c>
      <c r="S198" s="81">
        <f t="shared" si="227"/>
        <v>88.4385958</v>
      </c>
      <c r="T198" s="66">
        <f>P198*'Rate Codes'!$D$8</f>
        <v>40.1250158</v>
      </c>
      <c r="U198" s="67">
        <f>(O198)*'Billing Rate'!$B$1</f>
        <v>166.6583963</v>
      </c>
      <c r="V198" s="25">
        <f t="shared" si="228"/>
        <v>128.5636116</v>
      </c>
      <c r="W198" s="81">
        <f t="shared" si="229"/>
        <v>295.2220079</v>
      </c>
      <c r="X198" s="25">
        <f t="shared" si="230"/>
        <v>14.7611004</v>
      </c>
      <c r="Y198" s="81">
        <f t="shared" si="231"/>
        <v>309.9831083</v>
      </c>
    </row>
    <row r="199">
      <c r="A199" s="12"/>
      <c r="B199" s="80" t="s">
        <v>119</v>
      </c>
      <c r="C199" s="24">
        <v>31.0</v>
      </c>
      <c r="D199" s="22">
        <v>11.8</v>
      </c>
      <c r="E199" s="23">
        <f t="shared" si="217"/>
        <v>0.4916666667</v>
      </c>
      <c r="F199" s="22">
        <f t="shared" si="218"/>
        <v>12.2</v>
      </c>
      <c r="G199" s="23">
        <f t="shared" si="219"/>
        <v>0.5083333333</v>
      </c>
      <c r="H199" s="59">
        <v>0.08500831624</v>
      </c>
      <c r="I199" s="60">
        <f t="shared" si="220"/>
        <v>5202.975008</v>
      </c>
      <c r="J199" s="61">
        <f t="shared" si="221"/>
        <v>14.22355114</v>
      </c>
      <c r="K199" s="25">
        <v>4991.0</v>
      </c>
      <c r="L199" s="62">
        <f t="shared" si="222"/>
        <v>6.708333333</v>
      </c>
      <c r="M199" s="63">
        <f t="shared" si="223"/>
        <v>1</v>
      </c>
      <c r="N199" s="63">
        <f t="shared" si="224"/>
        <v>0.5083333333</v>
      </c>
      <c r="O199" s="25">
        <f t="shared" si="225"/>
        <v>-211.9750077</v>
      </c>
      <c r="P199" s="25">
        <f t="shared" si="226"/>
        <v>2537.091667</v>
      </c>
      <c r="Q199" s="64">
        <f>C199*'Rate Codes'!$D$7</f>
        <v>53.490035</v>
      </c>
      <c r="R199" s="25">
        <f>P199*'Rate Codes'!$D$8</f>
        <v>32.86294836</v>
      </c>
      <c r="S199" s="81">
        <f t="shared" si="227"/>
        <v>86.35298336</v>
      </c>
      <c r="T199" s="66">
        <f>P199*'Rate Codes'!$D$8</f>
        <v>32.86294836</v>
      </c>
      <c r="U199" s="67">
        <f>(O199)*'Billing Rate'!$B$1</f>
        <v>-14.41430052</v>
      </c>
      <c r="V199" s="25">
        <f t="shared" si="228"/>
        <v>119.2159317</v>
      </c>
      <c r="W199" s="81">
        <f t="shared" si="229"/>
        <v>104.8016312</v>
      </c>
      <c r="X199" s="25">
        <f t="shared" si="230"/>
        <v>5.960796586</v>
      </c>
      <c r="Y199" s="81">
        <f t="shared" si="231"/>
        <v>110.7624278</v>
      </c>
    </row>
    <row r="200">
      <c r="A200" s="12"/>
      <c r="B200" s="80" t="s">
        <v>120</v>
      </c>
      <c r="C200" s="24">
        <v>30.0</v>
      </c>
      <c r="D200" s="22">
        <v>13.8</v>
      </c>
      <c r="E200" s="23">
        <f t="shared" si="217"/>
        <v>0.575</v>
      </c>
      <c r="F200" s="22">
        <f t="shared" si="218"/>
        <v>10.2</v>
      </c>
      <c r="G200" s="23">
        <f t="shared" si="219"/>
        <v>0.425</v>
      </c>
      <c r="H200" s="59">
        <v>0.108773175</v>
      </c>
      <c r="I200" s="60">
        <f t="shared" si="220"/>
        <v>6657.514653</v>
      </c>
      <c r="J200" s="61">
        <f t="shared" si="221"/>
        <v>16.08095327</v>
      </c>
      <c r="K200" s="25">
        <v>4952.0</v>
      </c>
      <c r="L200" s="62">
        <f t="shared" si="222"/>
        <v>6.877777778</v>
      </c>
      <c r="M200" s="63">
        <f t="shared" si="223"/>
        <v>1</v>
      </c>
      <c r="N200" s="63">
        <f t="shared" si="224"/>
        <v>0.425</v>
      </c>
      <c r="O200" s="25">
        <f t="shared" si="225"/>
        <v>-1705.514653</v>
      </c>
      <c r="P200" s="25">
        <f t="shared" si="226"/>
        <v>2104.6</v>
      </c>
      <c r="Q200" s="64">
        <f>C200*'Rate Codes'!$D$7</f>
        <v>51.76455</v>
      </c>
      <c r="R200" s="25">
        <f>P200*'Rate Codes'!$D$8</f>
        <v>27.2608838</v>
      </c>
      <c r="S200" s="81">
        <f t="shared" si="227"/>
        <v>79.0254338</v>
      </c>
      <c r="T200" s="66">
        <f>P200*'Rate Codes'!$D$8</f>
        <v>27.2608838</v>
      </c>
      <c r="U200" s="67">
        <f>(O200)*'Billing Rate'!$B$1</f>
        <v>-115.9749964</v>
      </c>
      <c r="V200" s="25">
        <f t="shared" si="228"/>
        <v>106.2863176</v>
      </c>
      <c r="W200" s="81">
        <f t="shared" si="229"/>
        <v>-9.688678833</v>
      </c>
      <c r="X200" s="25">
        <f t="shared" si="230"/>
        <v>5.31431588</v>
      </c>
      <c r="Y200" s="81">
        <f t="shared" si="231"/>
        <v>-4.374362953</v>
      </c>
    </row>
    <row r="201">
      <c r="A201" s="12"/>
      <c r="B201" s="80" t="s">
        <v>98</v>
      </c>
      <c r="C201" s="24">
        <v>31.0</v>
      </c>
      <c r="D201" s="22">
        <v>15.5333</v>
      </c>
      <c r="E201" s="23">
        <f t="shared" si="217"/>
        <v>0.6472208333</v>
      </c>
      <c r="F201" s="22">
        <f t="shared" si="218"/>
        <v>8.4667</v>
      </c>
      <c r="G201" s="23">
        <f t="shared" si="219"/>
        <v>0.3527791667</v>
      </c>
      <c r="H201" s="59">
        <v>0.1281742617</v>
      </c>
      <c r="I201" s="60">
        <f t="shared" si="220"/>
        <v>7844.967525</v>
      </c>
      <c r="J201" s="61">
        <f t="shared" si="221"/>
        <v>16.29167457</v>
      </c>
      <c r="K201" s="25">
        <v>5559.0</v>
      </c>
      <c r="L201" s="62">
        <f t="shared" si="222"/>
        <v>7.471774194</v>
      </c>
      <c r="M201" s="63">
        <f t="shared" si="223"/>
        <v>1</v>
      </c>
      <c r="N201" s="63">
        <f t="shared" si="224"/>
        <v>0.3527791667</v>
      </c>
      <c r="O201" s="25">
        <f t="shared" si="225"/>
        <v>-2285.967525</v>
      </c>
      <c r="P201" s="25">
        <f t="shared" si="226"/>
        <v>1961.099388</v>
      </c>
      <c r="Q201" s="64">
        <f>C201*'Rate Codes'!$D$7</f>
        <v>53.490035</v>
      </c>
      <c r="R201" s="25">
        <f>P201*'Rate Codes'!$D$8</f>
        <v>25.40212037</v>
      </c>
      <c r="S201" s="81">
        <f t="shared" si="227"/>
        <v>78.89215537</v>
      </c>
      <c r="T201" s="66">
        <f>P201*'Rate Codes'!$D$8</f>
        <v>25.40212037</v>
      </c>
      <c r="U201" s="67">
        <f>(O201)*'Billing Rate'!$B$1</f>
        <v>-155.4457917</v>
      </c>
      <c r="V201" s="25">
        <f t="shared" si="228"/>
        <v>104.2942757</v>
      </c>
      <c r="W201" s="81">
        <f t="shared" si="229"/>
        <v>-51.15151596</v>
      </c>
      <c r="X201" s="25">
        <f t="shared" si="230"/>
        <v>5.214713787</v>
      </c>
      <c r="Y201" s="81">
        <f t="shared" si="231"/>
        <v>-45.93680218</v>
      </c>
    </row>
    <row r="202">
      <c r="A202" s="12"/>
      <c r="B202" s="80" t="s">
        <v>121</v>
      </c>
      <c r="C202" s="24">
        <v>30.0</v>
      </c>
      <c r="D202" s="22">
        <v>16.4667</v>
      </c>
      <c r="E202" s="23">
        <f t="shared" si="217"/>
        <v>0.6861125</v>
      </c>
      <c r="F202" s="22">
        <f t="shared" si="218"/>
        <v>7.5333</v>
      </c>
      <c r="G202" s="23">
        <f t="shared" si="219"/>
        <v>0.3138875</v>
      </c>
      <c r="H202" s="59">
        <v>0.1254860808</v>
      </c>
      <c r="I202" s="60">
        <f t="shared" si="220"/>
        <v>7680.436116</v>
      </c>
      <c r="J202" s="61">
        <f t="shared" si="221"/>
        <v>15.54741006</v>
      </c>
      <c r="K202" s="25">
        <v>4964.0</v>
      </c>
      <c r="L202" s="62">
        <f t="shared" si="222"/>
        <v>6.894444444</v>
      </c>
      <c r="M202" s="63">
        <f t="shared" si="223"/>
        <v>1</v>
      </c>
      <c r="N202" s="63">
        <f t="shared" si="224"/>
        <v>0.3138875</v>
      </c>
      <c r="O202" s="25">
        <f t="shared" si="225"/>
        <v>-2716.436116</v>
      </c>
      <c r="P202" s="25">
        <f t="shared" si="226"/>
        <v>1558.13755</v>
      </c>
      <c r="Q202" s="64">
        <f>C202*'Rate Codes'!$D$7</f>
        <v>51.76455</v>
      </c>
      <c r="R202" s="25">
        <f>P202*'Rate Codes'!$D$8</f>
        <v>20.18255569</v>
      </c>
      <c r="S202" s="81">
        <f t="shared" si="227"/>
        <v>71.94710569</v>
      </c>
      <c r="T202" s="66">
        <f>P202*'Rate Codes'!$D$8</f>
        <v>20.18255569</v>
      </c>
      <c r="U202" s="67">
        <f>(O202)*'Billing Rate'!$B$1</f>
        <v>-184.7176559</v>
      </c>
      <c r="V202" s="25">
        <f t="shared" si="228"/>
        <v>92.12966137</v>
      </c>
      <c r="W202" s="81">
        <f t="shared" si="229"/>
        <v>-92.58799452</v>
      </c>
      <c r="X202" s="25">
        <f t="shared" si="230"/>
        <v>4.606483069</v>
      </c>
      <c r="Y202" s="81">
        <f t="shared" si="231"/>
        <v>-87.98151145</v>
      </c>
    </row>
    <row r="203">
      <c r="A203" s="12"/>
      <c r="B203" s="80" t="s">
        <v>122</v>
      </c>
      <c r="C203" s="24">
        <v>31.0</v>
      </c>
      <c r="D203" s="22">
        <v>16.05</v>
      </c>
      <c r="E203" s="23">
        <f t="shared" si="217"/>
        <v>0.66875</v>
      </c>
      <c r="F203" s="22">
        <f t="shared" si="218"/>
        <v>7.95</v>
      </c>
      <c r="G203" s="23">
        <f t="shared" si="219"/>
        <v>0.33125</v>
      </c>
      <c r="H203" s="59">
        <v>0.1449493112</v>
      </c>
      <c r="I203" s="60">
        <f t="shared" si="220"/>
        <v>8871.692523</v>
      </c>
      <c r="J203" s="61">
        <f t="shared" si="221"/>
        <v>17.83075575</v>
      </c>
      <c r="K203" s="25">
        <v>6634.0</v>
      </c>
      <c r="L203" s="62">
        <f t="shared" si="222"/>
        <v>8.916666667</v>
      </c>
      <c r="M203" s="63">
        <f t="shared" si="223"/>
        <v>1</v>
      </c>
      <c r="N203" s="63">
        <f t="shared" si="224"/>
        <v>0.33125</v>
      </c>
      <c r="O203" s="25">
        <f t="shared" si="225"/>
        <v>-2237.692523</v>
      </c>
      <c r="P203" s="25">
        <f t="shared" si="226"/>
        <v>2197.5125</v>
      </c>
      <c r="Q203" s="64">
        <f>C203*'Rate Codes'!$D$7</f>
        <v>53.490035</v>
      </c>
      <c r="R203" s="25">
        <f>P203*'Rate Codes'!$D$8</f>
        <v>28.46437941</v>
      </c>
      <c r="S203" s="81">
        <f t="shared" si="227"/>
        <v>81.95441441</v>
      </c>
      <c r="T203" s="66">
        <f>P203*'Rate Codes'!$D$8</f>
        <v>28.46437941</v>
      </c>
      <c r="U203" s="67">
        <f>(O203)*'Billing Rate'!$B$1</f>
        <v>-152.1630915</v>
      </c>
      <c r="V203" s="25">
        <f t="shared" si="228"/>
        <v>110.4187938</v>
      </c>
      <c r="W203" s="81">
        <f t="shared" si="229"/>
        <v>-41.74429772</v>
      </c>
      <c r="X203" s="25">
        <f t="shared" si="230"/>
        <v>5.520939691</v>
      </c>
      <c r="Y203" s="81">
        <f t="shared" si="231"/>
        <v>-36.22335803</v>
      </c>
    </row>
    <row r="204">
      <c r="A204" s="12"/>
      <c r="B204" s="80" t="s">
        <v>123</v>
      </c>
      <c r="C204" s="24">
        <v>31.0</v>
      </c>
      <c r="D204" s="22">
        <v>14.5167</v>
      </c>
      <c r="E204" s="23">
        <f t="shared" si="217"/>
        <v>0.6048625</v>
      </c>
      <c r="F204" s="22">
        <f t="shared" si="218"/>
        <v>9.4833</v>
      </c>
      <c r="G204" s="23">
        <f t="shared" si="219"/>
        <v>0.3951375</v>
      </c>
      <c r="H204" s="59">
        <v>0.1246952409</v>
      </c>
      <c r="I204" s="60">
        <f t="shared" si="220"/>
        <v>7632.032378</v>
      </c>
      <c r="J204" s="61">
        <f t="shared" si="221"/>
        <v>16.95940488</v>
      </c>
      <c r="K204" s="25">
        <v>5909.0</v>
      </c>
      <c r="L204" s="62">
        <f t="shared" si="222"/>
        <v>7.942204301</v>
      </c>
      <c r="M204" s="63">
        <f t="shared" si="223"/>
        <v>1</v>
      </c>
      <c r="N204" s="63">
        <f t="shared" si="224"/>
        <v>0.3951375</v>
      </c>
      <c r="O204" s="25">
        <f t="shared" si="225"/>
        <v>-1723.032378</v>
      </c>
      <c r="P204" s="25">
        <f t="shared" si="226"/>
        <v>2334.867488</v>
      </c>
      <c r="Q204" s="64">
        <f>C204*'Rate Codes'!$D$7</f>
        <v>53.490035</v>
      </c>
      <c r="R204" s="25">
        <f>P204*'Rate Codes'!$D$8</f>
        <v>30.24353857</v>
      </c>
      <c r="S204" s="81">
        <f t="shared" si="227"/>
        <v>83.73357357</v>
      </c>
      <c r="T204" s="66">
        <f>P204*'Rate Codes'!$D$8</f>
        <v>30.24353857</v>
      </c>
      <c r="U204" s="67">
        <f>(O204)*'Billing Rate'!$B$1</f>
        <v>-117.1662017</v>
      </c>
      <c r="V204" s="25">
        <f t="shared" si="228"/>
        <v>113.9771121</v>
      </c>
      <c r="W204" s="81">
        <f t="shared" si="229"/>
        <v>-3.189089602</v>
      </c>
      <c r="X204" s="25">
        <f t="shared" si="230"/>
        <v>5.698855607</v>
      </c>
      <c r="Y204" s="81">
        <f t="shared" si="231"/>
        <v>2.509766004</v>
      </c>
    </row>
    <row r="205">
      <c r="A205" s="12"/>
      <c r="B205" s="80" t="s">
        <v>124</v>
      </c>
      <c r="C205" s="24">
        <v>30.0</v>
      </c>
      <c r="D205" s="22">
        <v>12.5833</v>
      </c>
      <c r="E205" s="23">
        <f t="shared" si="217"/>
        <v>0.5243041667</v>
      </c>
      <c r="F205" s="22">
        <f t="shared" si="218"/>
        <v>11.4167</v>
      </c>
      <c r="G205" s="23">
        <f t="shared" si="219"/>
        <v>0.4756958333</v>
      </c>
      <c r="H205" s="59">
        <v>0.09825803101</v>
      </c>
      <c r="I205" s="60">
        <f t="shared" si="220"/>
        <v>6013.930192</v>
      </c>
      <c r="J205" s="61">
        <f t="shared" si="221"/>
        <v>15.93098311</v>
      </c>
      <c r="K205" s="25">
        <v>5270.0</v>
      </c>
      <c r="L205" s="62">
        <f t="shared" si="222"/>
        <v>7.319444444</v>
      </c>
      <c r="M205" s="63">
        <f t="shared" si="223"/>
        <v>1</v>
      </c>
      <c r="N205" s="63">
        <f t="shared" si="224"/>
        <v>0.4756958333</v>
      </c>
      <c r="O205" s="25">
        <f t="shared" si="225"/>
        <v>-743.9301925</v>
      </c>
      <c r="P205" s="25">
        <f t="shared" si="226"/>
        <v>2506.917042</v>
      </c>
      <c r="Q205" s="64">
        <f>C205*'Rate Codes'!$D$7</f>
        <v>51.76455</v>
      </c>
      <c r="R205" s="25">
        <f>P205*'Rate Codes'!$D$8</f>
        <v>32.47209644</v>
      </c>
      <c r="S205" s="81">
        <f t="shared" si="227"/>
        <v>84.23664644</v>
      </c>
      <c r="T205" s="66">
        <f>P205*'Rate Codes'!$D$8</f>
        <v>32.47209644</v>
      </c>
      <c r="U205" s="67">
        <f>(O205)*'Billing Rate'!$B$1</f>
        <v>-50.58725309</v>
      </c>
      <c r="V205" s="25">
        <f t="shared" si="228"/>
        <v>116.7087429</v>
      </c>
      <c r="W205" s="81">
        <f t="shared" si="229"/>
        <v>66.12148979</v>
      </c>
      <c r="X205" s="25">
        <f t="shared" si="230"/>
        <v>5.835437144</v>
      </c>
      <c r="Y205" s="81">
        <f t="shared" si="231"/>
        <v>71.95692694</v>
      </c>
    </row>
    <row r="206">
      <c r="A206" s="12"/>
      <c r="B206" s="80" t="s">
        <v>125</v>
      </c>
      <c r="C206" s="24">
        <v>31.0</v>
      </c>
      <c r="D206" s="22">
        <v>10.5833</v>
      </c>
      <c r="E206" s="23">
        <f t="shared" si="217"/>
        <v>0.4409708333</v>
      </c>
      <c r="F206" s="22">
        <f t="shared" si="218"/>
        <v>13.4167</v>
      </c>
      <c r="G206" s="23">
        <f t="shared" si="219"/>
        <v>0.5590291667</v>
      </c>
      <c r="H206" s="59">
        <v>0.06840443866</v>
      </c>
      <c r="I206" s="60">
        <f t="shared" si="220"/>
        <v>4186.72667</v>
      </c>
      <c r="J206" s="61">
        <f t="shared" si="221"/>
        <v>12.7612086</v>
      </c>
      <c r="K206" s="25">
        <v>5946.0</v>
      </c>
      <c r="L206" s="62">
        <f t="shared" si="222"/>
        <v>7.991935484</v>
      </c>
      <c r="M206" s="63">
        <f t="shared" si="223"/>
        <v>1</v>
      </c>
      <c r="N206" s="63">
        <f t="shared" si="224"/>
        <v>0.5590291667</v>
      </c>
      <c r="O206" s="25">
        <f t="shared" si="225"/>
        <v>1759.27333</v>
      </c>
      <c r="P206" s="25">
        <f t="shared" si="226"/>
        <v>3323.987425</v>
      </c>
      <c r="Q206" s="64">
        <f>C206*'Rate Codes'!$D$7</f>
        <v>53.490035</v>
      </c>
      <c r="R206" s="25">
        <f>P206*'Rate Codes'!$D$8</f>
        <v>43.05560912</v>
      </c>
      <c r="S206" s="81">
        <f t="shared" si="227"/>
        <v>96.54564412</v>
      </c>
      <c r="T206" s="66">
        <f>P206*'Rate Codes'!$D$8</f>
        <v>43.05560912</v>
      </c>
      <c r="U206" s="67">
        <f>(O206)*'Billing Rate'!$B$1</f>
        <v>119.6305864</v>
      </c>
      <c r="V206" s="25">
        <f t="shared" si="228"/>
        <v>139.6012532</v>
      </c>
      <c r="W206" s="81">
        <f t="shared" si="229"/>
        <v>259.2318397</v>
      </c>
      <c r="X206" s="25">
        <f t="shared" si="230"/>
        <v>12.96159198</v>
      </c>
      <c r="Y206" s="81">
        <f t="shared" si="231"/>
        <v>272.1934317</v>
      </c>
    </row>
    <row r="207">
      <c r="A207" s="12"/>
      <c r="B207" s="80" t="s">
        <v>126</v>
      </c>
      <c r="C207" s="24">
        <v>30.0</v>
      </c>
      <c r="D207" s="22">
        <v>8.85</v>
      </c>
      <c r="E207" s="23">
        <f t="shared" si="217"/>
        <v>0.36875</v>
      </c>
      <c r="F207" s="22">
        <f t="shared" si="218"/>
        <v>15.15</v>
      </c>
      <c r="G207" s="23">
        <f t="shared" si="219"/>
        <v>0.63125</v>
      </c>
      <c r="H207" s="59">
        <v>0.0271408052</v>
      </c>
      <c r="I207" s="60">
        <f t="shared" si="220"/>
        <v>1661.166076</v>
      </c>
      <c r="J207" s="61">
        <f t="shared" si="221"/>
        <v>6.25674605</v>
      </c>
      <c r="K207" s="25">
        <v>5587.0</v>
      </c>
      <c r="L207" s="62">
        <f t="shared" si="222"/>
        <v>7.759722222</v>
      </c>
      <c r="M207" s="63">
        <f t="shared" si="223"/>
        <v>0.8063105703</v>
      </c>
      <c r="N207" s="63">
        <f t="shared" si="224"/>
        <v>0.7026729772</v>
      </c>
      <c r="O207" s="25">
        <f t="shared" si="225"/>
        <v>3925.833924</v>
      </c>
      <c r="P207" s="25">
        <f t="shared" si="226"/>
        <v>3925.833924</v>
      </c>
      <c r="Q207" s="64">
        <f>C207*'Rate Codes'!$D$7</f>
        <v>51.76455</v>
      </c>
      <c r="R207" s="25">
        <f>P207*'Rate Codes'!$D$8</f>
        <v>50.85132681</v>
      </c>
      <c r="S207" s="81">
        <f t="shared" si="227"/>
        <v>102.6158768</v>
      </c>
      <c r="T207" s="66">
        <f>P207*'Rate Codes'!$D$8</f>
        <v>50.85132681</v>
      </c>
      <c r="U207" s="67">
        <f>(O207)*'Billing Rate'!$B$1</f>
        <v>266.9567068</v>
      </c>
      <c r="V207" s="25">
        <f t="shared" si="228"/>
        <v>153.4672036</v>
      </c>
      <c r="W207" s="81">
        <f t="shared" si="229"/>
        <v>420.4239104</v>
      </c>
      <c r="X207" s="25">
        <f t="shared" si="230"/>
        <v>21.02119552</v>
      </c>
      <c r="Y207" s="81">
        <f t="shared" si="231"/>
        <v>441.445106</v>
      </c>
    </row>
    <row r="208">
      <c r="A208" s="12"/>
      <c r="B208" s="80" t="s">
        <v>127</v>
      </c>
      <c r="C208" s="24">
        <v>31.0</v>
      </c>
      <c r="D208" s="22">
        <v>7.9667</v>
      </c>
      <c r="E208" s="23">
        <f t="shared" si="217"/>
        <v>0.3319458333</v>
      </c>
      <c r="F208" s="22">
        <f t="shared" si="218"/>
        <v>16.0333</v>
      </c>
      <c r="G208" s="23">
        <f t="shared" si="219"/>
        <v>0.6680541667</v>
      </c>
      <c r="H208" s="59">
        <v>0.01559005293</v>
      </c>
      <c r="I208" s="60">
        <f t="shared" si="220"/>
        <v>954.196711</v>
      </c>
      <c r="J208" s="61">
        <f t="shared" si="221"/>
        <v>3.863649825</v>
      </c>
      <c r="K208" s="25">
        <v>5490.0</v>
      </c>
      <c r="L208" s="62">
        <f t="shared" si="222"/>
        <v>7.379032258</v>
      </c>
      <c r="M208" s="63">
        <f t="shared" si="223"/>
        <v>0.5235984463</v>
      </c>
      <c r="N208" s="63">
        <f t="shared" si="224"/>
        <v>0.8261936774</v>
      </c>
      <c r="O208" s="25">
        <f t="shared" si="225"/>
        <v>4535.803289</v>
      </c>
      <c r="P208" s="25">
        <f t="shared" si="226"/>
        <v>4535.803289</v>
      </c>
      <c r="Q208" s="64">
        <f>C208*'Rate Codes'!$D$7</f>
        <v>53.490035</v>
      </c>
      <c r="R208" s="25">
        <f>P208*'Rate Codes'!$D$8</f>
        <v>58.75226</v>
      </c>
      <c r="S208" s="81">
        <f t="shared" si="227"/>
        <v>112.242295</v>
      </c>
      <c r="T208" s="66">
        <f>P208*'Rate Codes'!$D$8</f>
        <v>58.75226</v>
      </c>
      <c r="U208" s="67">
        <f>(O208)*'Billing Rate'!$B$1</f>
        <v>308.4346237</v>
      </c>
      <c r="V208" s="25">
        <f t="shared" si="228"/>
        <v>170.994555</v>
      </c>
      <c r="W208" s="81">
        <f t="shared" si="229"/>
        <v>479.4291787</v>
      </c>
      <c r="X208" s="25">
        <f t="shared" si="230"/>
        <v>23.97145893</v>
      </c>
      <c r="Y208" s="81">
        <f t="shared" si="231"/>
        <v>503.4006376</v>
      </c>
    </row>
    <row r="209">
      <c r="A209" s="12"/>
      <c r="B209" s="77" t="s">
        <v>109</v>
      </c>
      <c r="C209" s="82"/>
      <c r="D209" s="83"/>
      <c r="E209" s="83"/>
      <c r="F209" s="83"/>
      <c r="G209" s="83"/>
      <c r="H209" s="83">
        <f t="shared" ref="H209:I209" si="232">SUM(H197:H208)</f>
        <v>1</v>
      </c>
      <c r="I209" s="84">
        <f t="shared" si="232"/>
        <v>61205.48245</v>
      </c>
      <c r="J209" s="84"/>
      <c r="K209" s="85">
        <f>SUM(K197:K208)</f>
        <v>66307</v>
      </c>
      <c r="L209" s="85"/>
      <c r="M209" s="85"/>
      <c r="N209" s="85"/>
      <c r="O209" s="85">
        <f t="shared" ref="O209:U209" si="233">SUM(O197:O208)</f>
        <v>5101.51755</v>
      </c>
      <c r="P209" s="48">
        <f t="shared" si="233"/>
        <v>34137.8861</v>
      </c>
      <c r="Q209" s="85">
        <f t="shared" si="233"/>
        <v>629.802025</v>
      </c>
      <c r="R209" s="85">
        <f t="shared" si="233"/>
        <v>442.1880387</v>
      </c>
      <c r="S209" s="85">
        <f t="shared" si="233"/>
        <v>1071.990064</v>
      </c>
      <c r="T209" s="85">
        <f t="shared" si="233"/>
        <v>442.1880387</v>
      </c>
      <c r="U209" s="85">
        <f t="shared" si="233"/>
        <v>346.9031934</v>
      </c>
      <c r="V209" s="48">
        <f t="shared" si="228"/>
        <v>1514.178102</v>
      </c>
      <c r="W209" s="85">
        <f t="shared" ref="W209:Y209" si="234">SUM(W197:W208)</f>
        <v>1861.081296</v>
      </c>
      <c r="X209" s="85">
        <f t="shared" si="234"/>
        <v>132.5775293</v>
      </c>
      <c r="Y209" s="85">
        <f t="shared" si="234"/>
        <v>1993.658825</v>
      </c>
    </row>
    <row r="211">
      <c r="A211" s="76">
        <v>13.0</v>
      </c>
      <c r="B211" s="12" t="s">
        <v>128</v>
      </c>
      <c r="C211" s="12"/>
      <c r="D211" s="15"/>
      <c r="E211" s="15"/>
      <c r="F211" s="15"/>
      <c r="G211" s="15"/>
      <c r="H211" s="15">
        <f>$H$1* POWER((1 -$O$1),A211)</f>
        <v>60899.45504</v>
      </c>
      <c r="I211" s="1" t="s">
        <v>132</v>
      </c>
      <c r="J211" s="1"/>
      <c r="K211" s="8">
        <f>H211/K225</f>
        <v>0.9184468463</v>
      </c>
      <c r="L211" s="8"/>
      <c r="M211" s="8"/>
      <c r="N211" s="8"/>
      <c r="O211" s="1" t="s">
        <v>133</v>
      </c>
      <c r="P211" s="6">
        <f>1-K211</f>
        <v>0.08155315371</v>
      </c>
      <c r="Q211" s="12" t="s">
        <v>74</v>
      </c>
      <c r="T211" s="12" t="s">
        <v>78</v>
      </c>
      <c r="U211" s="12"/>
      <c r="V211" s="12"/>
      <c r="W211" s="12"/>
      <c r="X211" s="12"/>
      <c r="Y211" s="12"/>
    </row>
    <row r="212">
      <c r="A212" s="12"/>
      <c r="B212" s="77" t="s">
        <v>83</v>
      </c>
      <c r="C212" s="20" t="s">
        <v>88</v>
      </c>
      <c r="D212" s="20" t="s">
        <v>84</v>
      </c>
      <c r="E212" s="20" t="s">
        <v>85</v>
      </c>
      <c r="F212" s="20" t="s">
        <v>86</v>
      </c>
      <c r="G212" s="20" t="s">
        <v>87</v>
      </c>
      <c r="H212" s="20" t="s">
        <v>134</v>
      </c>
      <c r="I212" s="44" t="s">
        <v>135</v>
      </c>
      <c r="J212" s="53" t="s">
        <v>92</v>
      </c>
      <c r="K212" s="20" t="s">
        <v>89</v>
      </c>
      <c r="L212" s="53" t="s">
        <v>90</v>
      </c>
      <c r="M212" s="53" t="s">
        <v>136</v>
      </c>
      <c r="N212" s="53" t="s">
        <v>137</v>
      </c>
      <c r="O212" s="20" t="s">
        <v>138</v>
      </c>
      <c r="P212" s="20" t="s">
        <v>139</v>
      </c>
      <c r="Q212" s="78" t="s">
        <v>76</v>
      </c>
      <c r="R212" s="78" t="s">
        <v>82</v>
      </c>
      <c r="S212" s="78" t="s">
        <v>109</v>
      </c>
      <c r="T212" s="78" t="s">
        <v>80</v>
      </c>
      <c r="U212" s="78" t="s">
        <v>67</v>
      </c>
      <c r="V212" s="45" t="s">
        <v>114</v>
      </c>
      <c r="W212" s="79" t="s">
        <v>115</v>
      </c>
      <c r="X212" s="79" t="s">
        <v>60</v>
      </c>
      <c r="Y212" s="79" t="s">
        <v>109</v>
      </c>
    </row>
    <row r="213">
      <c r="A213" s="12"/>
      <c r="B213" s="80" t="s">
        <v>117</v>
      </c>
      <c r="C213" s="24">
        <v>31.0</v>
      </c>
      <c r="D213" s="22">
        <v>8.45</v>
      </c>
      <c r="E213" s="23">
        <f t="shared" ref="E213:E224" si="235">D213/24</f>
        <v>0.3520833333</v>
      </c>
      <c r="F213" s="22">
        <f t="shared" ref="F213:F224" si="236">24-D213</f>
        <v>15.55</v>
      </c>
      <c r="G213" s="23">
        <f t="shared" ref="G213:G224" si="237">F213/24</f>
        <v>0.6479166667</v>
      </c>
      <c r="H213" s="59">
        <v>0.02731296772</v>
      </c>
      <c r="I213" s="60">
        <f t="shared" ref="I213:I224" si="238">H$211*H213</f>
        <v>1663.34485</v>
      </c>
      <c r="J213" s="61">
        <f t="shared" ref="J213:J224" si="239">I213/C213/D213</f>
        <v>6.349856269</v>
      </c>
      <c r="K213" s="25">
        <v>5726.0</v>
      </c>
      <c r="L213" s="62">
        <f t="shared" ref="L213:L224" si="240">K213/C213/24</f>
        <v>7.696236559</v>
      </c>
      <c r="M213" s="63">
        <f t="shared" ref="M213:M224" si="241">IF((J213/L213)&gt;1,1,J213/L213)</f>
        <v>0.8250599134</v>
      </c>
      <c r="N213" s="63">
        <f t="shared" ref="N213:N224" si="242">1-E213*M213</f>
        <v>0.7095101555</v>
      </c>
      <c r="O213" s="25">
        <f t="shared" ref="O213:O224" si="243">K213-I213</f>
        <v>4062.65515</v>
      </c>
      <c r="P213" s="25">
        <f t="shared" ref="P213:P224" si="244">K213*N213</f>
        <v>4062.65515</v>
      </c>
      <c r="Q213" s="64">
        <f>C213*'Rate Codes'!$D$7</f>
        <v>53.490035</v>
      </c>
      <c r="R213" s="25">
        <f>P213*'Rate Codes'!$D$8</f>
        <v>52.62357216</v>
      </c>
      <c r="S213" s="81">
        <f t="shared" ref="S213:S224" si="245">SUM(Q213:R213)</f>
        <v>106.1136072</v>
      </c>
      <c r="T213" s="66">
        <f>P213*'Rate Codes'!$D$8</f>
        <v>52.62357216</v>
      </c>
      <c r="U213" s="67">
        <f>(O213)*'Billing Rate'!$B$1</f>
        <v>276.2605502</v>
      </c>
      <c r="V213" s="25">
        <f t="shared" ref="V213:V225" si="246">S213+T213</f>
        <v>158.7371793</v>
      </c>
      <c r="W213" s="81">
        <f t="shared" ref="W213:W224" si="247">U213+S213+T213</f>
        <v>434.9977296</v>
      </c>
      <c r="X213" s="25">
        <f t="shared" ref="X213:X224" si="248">(IF(U213&gt;0,U213,0)+V213)*0.05</f>
        <v>21.74988648</v>
      </c>
      <c r="Y213" s="81">
        <f t="shared" ref="Y213:Y224" si="249">W213+X213</f>
        <v>456.747616</v>
      </c>
    </row>
    <row r="214">
      <c r="A214" s="12"/>
      <c r="B214" s="80" t="s">
        <v>118</v>
      </c>
      <c r="C214" s="24">
        <v>28.0</v>
      </c>
      <c r="D214" s="22">
        <v>9.9167</v>
      </c>
      <c r="E214" s="23">
        <f t="shared" si="235"/>
        <v>0.4131958333</v>
      </c>
      <c r="F214" s="22">
        <f t="shared" si="236"/>
        <v>14.0833</v>
      </c>
      <c r="G214" s="23">
        <f t="shared" si="237"/>
        <v>0.5868041667</v>
      </c>
      <c r="H214" s="59">
        <v>0.04620731865</v>
      </c>
      <c r="I214" s="60">
        <f t="shared" si="238"/>
        <v>2814.000525</v>
      </c>
      <c r="J214" s="61">
        <f t="shared" si="239"/>
        <v>10.13442161</v>
      </c>
      <c r="K214" s="25">
        <v>5279.0</v>
      </c>
      <c r="L214" s="62">
        <f t="shared" si="240"/>
        <v>7.855654762</v>
      </c>
      <c r="M214" s="63">
        <f t="shared" si="241"/>
        <v>1</v>
      </c>
      <c r="N214" s="63">
        <f t="shared" si="242"/>
        <v>0.5868041667</v>
      </c>
      <c r="O214" s="25">
        <f t="shared" si="243"/>
        <v>2464.999475</v>
      </c>
      <c r="P214" s="25">
        <f t="shared" si="244"/>
        <v>3097.739196</v>
      </c>
      <c r="Q214" s="64">
        <f>C214*'Rate Codes'!$D$7</f>
        <v>48.31358</v>
      </c>
      <c r="R214" s="25">
        <f>P214*'Rate Codes'!$D$8</f>
        <v>40.1250158</v>
      </c>
      <c r="S214" s="81">
        <f t="shared" si="245"/>
        <v>88.4385958</v>
      </c>
      <c r="T214" s="66">
        <f>P214*'Rate Codes'!$D$8</f>
        <v>40.1250158</v>
      </c>
      <c r="U214" s="67">
        <f>(O214)*'Billing Rate'!$B$1</f>
        <v>167.6199643</v>
      </c>
      <c r="V214" s="25">
        <f t="shared" si="246"/>
        <v>128.5636116</v>
      </c>
      <c r="W214" s="81">
        <f t="shared" si="247"/>
        <v>296.1835759</v>
      </c>
      <c r="X214" s="25">
        <f t="shared" si="248"/>
        <v>14.8091788</v>
      </c>
      <c r="Y214" s="81">
        <f t="shared" si="249"/>
        <v>310.9927547</v>
      </c>
    </row>
    <row r="215">
      <c r="A215" s="12"/>
      <c r="B215" s="80" t="s">
        <v>119</v>
      </c>
      <c r="C215" s="24">
        <v>31.0</v>
      </c>
      <c r="D215" s="22">
        <v>11.8</v>
      </c>
      <c r="E215" s="23">
        <f t="shared" si="235"/>
        <v>0.4916666667</v>
      </c>
      <c r="F215" s="22">
        <f t="shared" si="236"/>
        <v>12.2</v>
      </c>
      <c r="G215" s="23">
        <f t="shared" si="237"/>
        <v>0.5083333333</v>
      </c>
      <c r="H215" s="59">
        <v>0.08500831624</v>
      </c>
      <c r="I215" s="60">
        <f t="shared" si="238"/>
        <v>5176.960133</v>
      </c>
      <c r="J215" s="61">
        <f t="shared" si="239"/>
        <v>14.15243339</v>
      </c>
      <c r="K215" s="25">
        <v>4991.0</v>
      </c>
      <c r="L215" s="62">
        <f t="shared" si="240"/>
        <v>6.708333333</v>
      </c>
      <c r="M215" s="63">
        <f t="shared" si="241"/>
        <v>1</v>
      </c>
      <c r="N215" s="63">
        <f t="shared" si="242"/>
        <v>0.5083333333</v>
      </c>
      <c r="O215" s="25">
        <f t="shared" si="243"/>
        <v>-185.9601326</v>
      </c>
      <c r="P215" s="25">
        <f t="shared" si="244"/>
        <v>2537.091667</v>
      </c>
      <c r="Q215" s="64">
        <f>C215*'Rate Codes'!$D$7</f>
        <v>53.490035</v>
      </c>
      <c r="R215" s="25">
        <f>P215*'Rate Codes'!$D$8</f>
        <v>32.86294836</v>
      </c>
      <c r="S215" s="81">
        <f t="shared" si="245"/>
        <v>86.35298336</v>
      </c>
      <c r="T215" s="66">
        <f>P215*'Rate Codes'!$D$8</f>
        <v>32.86294836</v>
      </c>
      <c r="U215" s="67">
        <f>(O215)*'Billing Rate'!$B$1</f>
        <v>-12.64528902</v>
      </c>
      <c r="V215" s="25">
        <f t="shared" si="246"/>
        <v>119.2159317</v>
      </c>
      <c r="W215" s="81">
        <f t="shared" si="247"/>
        <v>106.5706427</v>
      </c>
      <c r="X215" s="25">
        <f t="shared" si="248"/>
        <v>5.960796586</v>
      </c>
      <c r="Y215" s="81">
        <f t="shared" si="249"/>
        <v>112.5314393</v>
      </c>
    </row>
    <row r="216">
      <c r="A216" s="12"/>
      <c r="B216" s="80" t="s">
        <v>120</v>
      </c>
      <c r="C216" s="24">
        <v>30.0</v>
      </c>
      <c r="D216" s="22">
        <v>13.8</v>
      </c>
      <c r="E216" s="23">
        <f t="shared" si="235"/>
        <v>0.575</v>
      </c>
      <c r="F216" s="22">
        <f t="shared" si="236"/>
        <v>10.2</v>
      </c>
      <c r="G216" s="23">
        <f t="shared" si="237"/>
        <v>0.425</v>
      </c>
      <c r="H216" s="59">
        <v>0.108773175</v>
      </c>
      <c r="I216" s="60">
        <f t="shared" si="238"/>
        <v>6624.22708</v>
      </c>
      <c r="J216" s="61">
        <f t="shared" si="239"/>
        <v>16.0005485</v>
      </c>
      <c r="K216" s="25">
        <v>4952.0</v>
      </c>
      <c r="L216" s="62">
        <f t="shared" si="240"/>
        <v>6.877777778</v>
      </c>
      <c r="M216" s="63">
        <f t="shared" si="241"/>
        <v>1</v>
      </c>
      <c r="N216" s="63">
        <f t="shared" si="242"/>
        <v>0.425</v>
      </c>
      <c r="O216" s="25">
        <f t="shared" si="243"/>
        <v>-1672.22708</v>
      </c>
      <c r="P216" s="25">
        <f t="shared" si="244"/>
        <v>2104.6</v>
      </c>
      <c r="Q216" s="64">
        <f>C216*'Rate Codes'!$D$7</f>
        <v>51.76455</v>
      </c>
      <c r="R216" s="25">
        <f>P216*'Rate Codes'!$D$8</f>
        <v>27.2608838</v>
      </c>
      <c r="S216" s="81">
        <f t="shared" si="245"/>
        <v>79.0254338</v>
      </c>
      <c r="T216" s="66">
        <f>P216*'Rate Codes'!$D$8</f>
        <v>27.2608838</v>
      </c>
      <c r="U216" s="67">
        <f>(O216)*'Billing Rate'!$B$1</f>
        <v>-113.7114415</v>
      </c>
      <c r="V216" s="25">
        <f t="shared" si="246"/>
        <v>106.2863176</v>
      </c>
      <c r="W216" s="81">
        <f t="shared" si="247"/>
        <v>-7.425123851</v>
      </c>
      <c r="X216" s="25">
        <f t="shared" si="248"/>
        <v>5.31431588</v>
      </c>
      <c r="Y216" s="81">
        <f t="shared" si="249"/>
        <v>-2.110807971</v>
      </c>
    </row>
    <row r="217">
      <c r="A217" s="12"/>
      <c r="B217" s="80" t="s">
        <v>98</v>
      </c>
      <c r="C217" s="24">
        <v>31.0</v>
      </c>
      <c r="D217" s="22">
        <v>15.5333</v>
      </c>
      <c r="E217" s="23">
        <f t="shared" si="235"/>
        <v>0.6472208333</v>
      </c>
      <c r="F217" s="22">
        <f t="shared" si="236"/>
        <v>8.4667</v>
      </c>
      <c r="G217" s="23">
        <f t="shared" si="237"/>
        <v>0.3527791667</v>
      </c>
      <c r="H217" s="59">
        <v>0.1281742617</v>
      </c>
      <c r="I217" s="60">
        <f t="shared" si="238"/>
        <v>7805.742687</v>
      </c>
      <c r="J217" s="61">
        <f t="shared" si="239"/>
        <v>16.21021619</v>
      </c>
      <c r="K217" s="25">
        <v>5559.0</v>
      </c>
      <c r="L217" s="62">
        <f t="shared" si="240"/>
        <v>7.471774194</v>
      </c>
      <c r="M217" s="63">
        <f t="shared" si="241"/>
        <v>1</v>
      </c>
      <c r="N217" s="63">
        <f t="shared" si="242"/>
        <v>0.3527791667</v>
      </c>
      <c r="O217" s="25">
        <f t="shared" si="243"/>
        <v>-2246.742687</v>
      </c>
      <c r="P217" s="25">
        <f t="shared" si="244"/>
        <v>1961.099388</v>
      </c>
      <c r="Q217" s="64">
        <f>C217*'Rate Codes'!$D$7</f>
        <v>53.490035</v>
      </c>
      <c r="R217" s="25">
        <f>P217*'Rate Codes'!$D$8</f>
        <v>25.40212037</v>
      </c>
      <c r="S217" s="81">
        <f t="shared" si="245"/>
        <v>78.89215537</v>
      </c>
      <c r="T217" s="66">
        <f>P217*'Rate Codes'!$D$8</f>
        <v>25.40212037</v>
      </c>
      <c r="U217" s="67">
        <f>(O217)*'Billing Rate'!$B$1</f>
        <v>-152.7785027</v>
      </c>
      <c r="V217" s="25">
        <f t="shared" si="246"/>
        <v>104.2942757</v>
      </c>
      <c r="W217" s="81">
        <f t="shared" si="247"/>
        <v>-48.48422701</v>
      </c>
      <c r="X217" s="25">
        <f t="shared" si="248"/>
        <v>5.214713787</v>
      </c>
      <c r="Y217" s="81">
        <f t="shared" si="249"/>
        <v>-43.26951322</v>
      </c>
    </row>
    <row r="218">
      <c r="A218" s="12"/>
      <c r="B218" s="80" t="s">
        <v>121</v>
      </c>
      <c r="C218" s="24">
        <v>30.0</v>
      </c>
      <c r="D218" s="22">
        <v>16.4667</v>
      </c>
      <c r="E218" s="23">
        <f t="shared" si="235"/>
        <v>0.6861125</v>
      </c>
      <c r="F218" s="22">
        <f t="shared" si="236"/>
        <v>7.5333</v>
      </c>
      <c r="G218" s="23">
        <f t="shared" si="237"/>
        <v>0.3138875</v>
      </c>
      <c r="H218" s="59">
        <v>0.1254860808</v>
      </c>
      <c r="I218" s="60">
        <f t="shared" si="238"/>
        <v>7642.033935</v>
      </c>
      <c r="J218" s="61">
        <f t="shared" si="239"/>
        <v>15.46967301</v>
      </c>
      <c r="K218" s="25">
        <v>4964.0</v>
      </c>
      <c r="L218" s="62">
        <f t="shared" si="240"/>
        <v>6.894444444</v>
      </c>
      <c r="M218" s="63">
        <f t="shared" si="241"/>
        <v>1</v>
      </c>
      <c r="N218" s="63">
        <f t="shared" si="242"/>
        <v>0.3138875</v>
      </c>
      <c r="O218" s="25">
        <f t="shared" si="243"/>
        <v>-2678.033935</v>
      </c>
      <c r="P218" s="25">
        <f t="shared" si="244"/>
        <v>1558.13755</v>
      </c>
      <c r="Q218" s="64">
        <f>C218*'Rate Codes'!$D$7</f>
        <v>51.76455</v>
      </c>
      <c r="R218" s="25">
        <f>P218*'Rate Codes'!$D$8</f>
        <v>20.18255569</v>
      </c>
      <c r="S218" s="81">
        <f t="shared" si="245"/>
        <v>71.94710569</v>
      </c>
      <c r="T218" s="66">
        <f>P218*'Rate Codes'!$D$8</f>
        <v>20.18255569</v>
      </c>
      <c r="U218" s="67">
        <f>(O218)*'Billing Rate'!$B$1</f>
        <v>-182.1063076</v>
      </c>
      <c r="V218" s="25">
        <f t="shared" si="246"/>
        <v>92.12966137</v>
      </c>
      <c r="W218" s="81">
        <f t="shared" si="247"/>
        <v>-89.97664624</v>
      </c>
      <c r="X218" s="25">
        <f t="shared" si="248"/>
        <v>4.606483069</v>
      </c>
      <c r="Y218" s="81">
        <f t="shared" si="249"/>
        <v>-85.37016317</v>
      </c>
    </row>
    <row r="219">
      <c r="A219" s="12"/>
      <c r="B219" s="80" t="s">
        <v>122</v>
      </c>
      <c r="C219" s="24">
        <v>31.0</v>
      </c>
      <c r="D219" s="22">
        <v>16.05</v>
      </c>
      <c r="E219" s="23">
        <f t="shared" si="235"/>
        <v>0.66875</v>
      </c>
      <c r="F219" s="22">
        <f t="shared" si="236"/>
        <v>7.95</v>
      </c>
      <c r="G219" s="23">
        <f t="shared" si="237"/>
        <v>0.33125</v>
      </c>
      <c r="H219" s="59">
        <v>0.1449493112</v>
      </c>
      <c r="I219" s="60">
        <f t="shared" si="238"/>
        <v>8827.33406</v>
      </c>
      <c r="J219" s="61">
        <f t="shared" si="239"/>
        <v>17.74160197</v>
      </c>
      <c r="K219" s="25">
        <v>6634.0</v>
      </c>
      <c r="L219" s="62">
        <f t="shared" si="240"/>
        <v>8.916666667</v>
      </c>
      <c r="M219" s="63">
        <f t="shared" si="241"/>
        <v>1</v>
      </c>
      <c r="N219" s="63">
        <f t="shared" si="242"/>
        <v>0.33125</v>
      </c>
      <c r="O219" s="25">
        <f t="shared" si="243"/>
        <v>-2193.33406</v>
      </c>
      <c r="P219" s="25">
        <f t="shared" si="244"/>
        <v>2197.5125</v>
      </c>
      <c r="Q219" s="64">
        <f>C219*'Rate Codes'!$D$7</f>
        <v>53.490035</v>
      </c>
      <c r="R219" s="25">
        <f>P219*'Rate Codes'!$D$8</f>
        <v>28.46437941</v>
      </c>
      <c r="S219" s="81">
        <f t="shared" si="245"/>
        <v>81.95441441</v>
      </c>
      <c r="T219" s="66">
        <f>P219*'Rate Codes'!$D$8</f>
        <v>28.46437941</v>
      </c>
      <c r="U219" s="67">
        <f>(O219)*'Billing Rate'!$B$1</f>
        <v>-149.1467161</v>
      </c>
      <c r="V219" s="25">
        <f t="shared" si="246"/>
        <v>110.4187938</v>
      </c>
      <c r="W219" s="81">
        <f t="shared" si="247"/>
        <v>-38.72792226</v>
      </c>
      <c r="X219" s="25">
        <f t="shared" si="248"/>
        <v>5.520939691</v>
      </c>
      <c r="Y219" s="81">
        <f t="shared" si="249"/>
        <v>-33.20698257</v>
      </c>
    </row>
    <row r="220">
      <c r="A220" s="12"/>
      <c r="B220" s="80" t="s">
        <v>123</v>
      </c>
      <c r="C220" s="24">
        <v>31.0</v>
      </c>
      <c r="D220" s="22">
        <v>14.5167</v>
      </c>
      <c r="E220" s="23">
        <f t="shared" si="235"/>
        <v>0.6048625</v>
      </c>
      <c r="F220" s="22">
        <f t="shared" si="236"/>
        <v>9.4833</v>
      </c>
      <c r="G220" s="23">
        <f t="shared" si="237"/>
        <v>0.3951375</v>
      </c>
      <c r="H220" s="59">
        <v>0.1246952409</v>
      </c>
      <c r="I220" s="60">
        <f t="shared" si="238"/>
        <v>7593.872217</v>
      </c>
      <c r="J220" s="61">
        <f t="shared" si="239"/>
        <v>16.87460786</v>
      </c>
      <c r="K220" s="25">
        <v>5909.0</v>
      </c>
      <c r="L220" s="62">
        <f t="shared" si="240"/>
        <v>7.942204301</v>
      </c>
      <c r="M220" s="63">
        <f t="shared" si="241"/>
        <v>1</v>
      </c>
      <c r="N220" s="63">
        <f t="shared" si="242"/>
        <v>0.3951375</v>
      </c>
      <c r="O220" s="25">
        <f t="shared" si="243"/>
        <v>-1684.872217</v>
      </c>
      <c r="P220" s="25">
        <f t="shared" si="244"/>
        <v>2334.867488</v>
      </c>
      <c r="Q220" s="64">
        <f>C220*'Rate Codes'!$D$7</f>
        <v>53.490035</v>
      </c>
      <c r="R220" s="25">
        <f>P220*'Rate Codes'!$D$8</f>
        <v>30.24353857</v>
      </c>
      <c r="S220" s="81">
        <f t="shared" si="245"/>
        <v>83.73357357</v>
      </c>
      <c r="T220" s="66">
        <f>P220*'Rate Codes'!$D$8</f>
        <v>30.24353857</v>
      </c>
      <c r="U220" s="67">
        <f>(O220)*'Billing Rate'!$B$1</f>
        <v>-114.5713107</v>
      </c>
      <c r="V220" s="25">
        <f t="shared" si="246"/>
        <v>113.9771121</v>
      </c>
      <c r="W220" s="81">
        <f t="shared" si="247"/>
        <v>-0.5941985936</v>
      </c>
      <c r="X220" s="25">
        <f t="shared" si="248"/>
        <v>5.698855607</v>
      </c>
      <c r="Y220" s="81">
        <f t="shared" si="249"/>
        <v>5.104657013</v>
      </c>
    </row>
    <row r="221">
      <c r="A221" s="12"/>
      <c r="B221" s="80" t="s">
        <v>124</v>
      </c>
      <c r="C221" s="24">
        <v>30.0</v>
      </c>
      <c r="D221" s="22">
        <v>12.5833</v>
      </c>
      <c r="E221" s="23">
        <f t="shared" si="235"/>
        <v>0.5243041667</v>
      </c>
      <c r="F221" s="22">
        <f t="shared" si="236"/>
        <v>11.4167</v>
      </c>
      <c r="G221" s="23">
        <f t="shared" si="237"/>
        <v>0.4756958333</v>
      </c>
      <c r="H221" s="59">
        <v>0.09825803101</v>
      </c>
      <c r="I221" s="60">
        <f t="shared" si="238"/>
        <v>5983.860542</v>
      </c>
      <c r="J221" s="61">
        <f t="shared" si="239"/>
        <v>15.85132819</v>
      </c>
      <c r="K221" s="25">
        <v>5270.0</v>
      </c>
      <c r="L221" s="62">
        <f t="shared" si="240"/>
        <v>7.319444444</v>
      </c>
      <c r="M221" s="63">
        <f t="shared" si="241"/>
        <v>1</v>
      </c>
      <c r="N221" s="63">
        <f t="shared" si="242"/>
        <v>0.4756958333</v>
      </c>
      <c r="O221" s="25">
        <f t="shared" si="243"/>
        <v>-713.8605415</v>
      </c>
      <c r="P221" s="25">
        <f t="shared" si="244"/>
        <v>2506.917042</v>
      </c>
      <c r="Q221" s="64">
        <f>C221*'Rate Codes'!$D$7</f>
        <v>51.76455</v>
      </c>
      <c r="R221" s="25">
        <f>P221*'Rate Codes'!$D$8</f>
        <v>32.47209644</v>
      </c>
      <c r="S221" s="81">
        <f t="shared" si="245"/>
        <v>84.23664644</v>
      </c>
      <c r="T221" s="66">
        <f>P221*'Rate Codes'!$D$8</f>
        <v>32.47209644</v>
      </c>
      <c r="U221" s="67">
        <f>(O221)*'Billing Rate'!$B$1</f>
        <v>-48.54251682</v>
      </c>
      <c r="V221" s="25">
        <f t="shared" si="246"/>
        <v>116.7087429</v>
      </c>
      <c r="W221" s="81">
        <f t="shared" si="247"/>
        <v>68.16622606</v>
      </c>
      <c r="X221" s="25">
        <f t="shared" si="248"/>
        <v>5.835437144</v>
      </c>
      <c r="Y221" s="81">
        <f t="shared" si="249"/>
        <v>74.0016632</v>
      </c>
    </row>
    <row r="222">
      <c r="A222" s="12"/>
      <c r="B222" s="80" t="s">
        <v>125</v>
      </c>
      <c r="C222" s="24">
        <v>31.0</v>
      </c>
      <c r="D222" s="22">
        <v>10.5833</v>
      </c>
      <c r="E222" s="23">
        <f t="shared" si="235"/>
        <v>0.4409708333</v>
      </c>
      <c r="F222" s="22">
        <f t="shared" si="236"/>
        <v>13.4167</v>
      </c>
      <c r="G222" s="23">
        <f t="shared" si="237"/>
        <v>0.5590291667</v>
      </c>
      <c r="H222" s="59">
        <v>0.06840443866</v>
      </c>
      <c r="I222" s="60">
        <f t="shared" si="238"/>
        <v>4165.793037</v>
      </c>
      <c r="J222" s="61">
        <f t="shared" si="239"/>
        <v>12.69740256</v>
      </c>
      <c r="K222" s="25">
        <v>5946.0</v>
      </c>
      <c r="L222" s="62">
        <f t="shared" si="240"/>
        <v>7.991935484</v>
      </c>
      <c r="M222" s="63">
        <f t="shared" si="241"/>
        <v>1</v>
      </c>
      <c r="N222" s="63">
        <f t="shared" si="242"/>
        <v>0.5590291667</v>
      </c>
      <c r="O222" s="25">
        <f t="shared" si="243"/>
        <v>1780.206963</v>
      </c>
      <c r="P222" s="25">
        <f t="shared" si="244"/>
        <v>3323.987425</v>
      </c>
      <c r="Q222" s="64">
        <f>C222*'Rate Codes'!$D$7</f>
        <v>53.490035</v>
      </c>
      <c r="R222" s="25">
        <f>P222*'Rate Codes'!$D$8</f>
        <v>43.05560912</v>
      </c>
      <c r="S222" s="81">
        <f t="shared" si="245"/>
        <v>96.54564412</v>
      </c>
      <c r="T222" s="66">
        <f>P222*'Rate Codes'!$D$8</f>
        <v>43.05560912</v>
      </c>
      <c r="U222" s="67">
        <f>(O222)*'Billing Rate'!$B$1</f>
        <v>121.0540735</v>
      </c>
      <c r="V222" s="25">
        <f t="shared" si="246"/>
        <v>139.6012532</v>
      </c>
      <c r="W222" s="81">
        <f t="shared" si="247"/>
        <v>260.6553267</v>
      </c>
      <c r="X222" s="25">
        <f t="shared" si="248"/>
        <v>13.03276634</v>
      </c>
      <c r="Y222" s="81">
        <f t="shared" si="249"/>
        <v>273.6880931</v>
      </c>
    </row>
    <row r="223">
      <c r="A223" s="12"/>
      <c r="B223" s="80" t="s">
        <v>126</v>
      </c>
      <c r="C223" s="24">
        <v>30.0</v>
      </c>
      <c r="D223" s="22">
        <v>8.85</v>
      </c>
      <c r="E223" s="23">
        <f t="shared" si="235"/>
        <v>0.36875</v>
      </c>
      <c r="F223" s="22">
        <f t="shared" si="236"/>
        <v>15.15</v>
      </c>
      <c r="G223" s="23">
        <f t="shared" si="237"/>
        <v>0.63125</v>
      </c>
      <c r="H223" s="59">
        <v>0.0271408052</v>
      </c>
      <c r="I223" s="60">
        <f t="shared" si="238"/>
        <v>1652.860246</v>
      </c>
      <c r="J223" s="61">
        <f t="shared" si="239"/>
        <v>6.22546232</v>
      </c>
      <c r="K223" s="25">
        <v>5587.0</v>
      </c>
      <c r="L223" s="62">
        <f t="shared" si="240"/>
        <v>7.759722222</v>
      </c>
      <c r="M223" s="63">
        <f t="shared" si="241"/>
        <v>0.8022790174</v>
      </c>
      <c r="N223" s="63">
        <f t="shared" si="242"/>
        <v>0.7041596123</v>
      </c>
      <c r="O223" s="25">
        <f t="shared" si="243"/>
        <v>3934.139754</v>
      </c>
      <c r="P223" s="25">
        <f t="shared" si="244"/>
        <v>3934.139754</v>
      </c>
      <c r="Q223" s="64">
        <f>C223*'Rate Codes'!$D$7</f>
        <v>51.76455</v>
      </c>
      <c r="R223" s="25">
        <f>P223*'Rate Codes'!$D$8</f>
        <v>50.95891223</v>
      </c>
      <c r="S223" s="81">
        <f t="shared" si="245"/>
        <v>102.7234622</v>
      </c>
      <c r="T223" s="66">
        <f>P223*'Rate Codes'!$D$8</f>
        <v>50.95891223</v>
      </c>
      <c r="U223" s="67">
        <f>(O223)*'Billing Rate'!$B$1</f>
        <v>267.5215033</v>
      </c>
      <c r="V223" s="25">
        <f t="shared" si="246"/>
        <v>153.6823745</v>
      </c>
      <c r="W223" s="81">
        <f t="shared" si="247"/>
        <v>421.2038777</v>
      </c>
      <c r="X223" s="25">
        <f t="shared" si="248"/>
        <v>21.06019389</v>
      </c>
      <c r="Y223" s="81">
        <f t="shared" si="249"/>
        <v>442.2640716</v>
      </c>
    </row>
    <row r="224">
      <c r="A224" s="12"/>
      <c r="B224" s="80" t="s">
        <v>127</v>
      </c>
      <c r="C224" s="24">
        <v>31.0</v>
      </c>
      <c r="D224" s="22">
        <v>7.9667</v>
      </c>
      <c r="E224" s="23">
        <f t="shared" si="235"/>
        <v>0.3319458333</v>
      </c>
      <c r="F224" s="22">
        <f t="shared" si="236"/>
        <v>16.0333</v>
      </c>
      <c r="G224" s="23">
        <f t="shared" si="237"/>
        <v>0.6680541667</v>
      </c>
      <c r="H224" s="59">
        <v>0.01559005293</v>
      </c>
      <c r="I224" s="60">
        <f t="shared" si="238"/>
        <v>949.4257274</v>
      </c>
      <c r="J224" s="61">
        <f t="shared" si="239"/>
        <v>3.844331576</v>
      </c>
      <c r="K224" s="25">
        <v>5490.0</v>
      </c>
      <c r="L224" s="62">
        <f t="shared" si="240"/>
        <v>7.379032258</v>
      </c>
      <c r="M224" s="63">
        <f t="shared" si="241"/>
        <v>0.5209804541</v>
      </c>
      <c r="N224" s="63">
        <f t="shared" si="242"/>
        <v>0.827062709</v>
      </c>
      <c r="O224" s="25">
        <f t="shared" si="243"/>
        <v>4540.574273</v>
      </c>
      <c r="P224" s="25">
        <f t="shared" si="244"/>
        <v>4540.574273</v>
      </c>
      <c r="Q224" s="64">
        <f>C224*'Rate Codes'!$D$7</f>
        <v>53.490035</v>
      </c>
      <c r="R224" s="25">
        <f>P224*'Rate Codes'!$D$8</f>
        <v>58.81405855</v>
      </c>
      <c r="S224" s="81">
        <f t="shared" si="245"/>
        <v>112.3040936</v>
      </c>
      <c r="T224" s="66">
        <f>P224*'Rate Codes'!$D$8</f>
        <v>58.81405855</v>
      </c>
      <c r="U224" s="67">
        <f>(O224)*'Billing Rate'!$B$1</f>
        <v>308.7590505</v>
      </c>
      <c r="V224" s="25">
        <f t="shared" si="246"/>
        <v>171.1181521</v>
      </c>
      <c r="W224" s="81">
        <f t="shared" si="247"/>
        <v>479.8772026</v>
      </c>
      <c r="X224" s="25">
        <f t="shared" si="248"/>
        <v>23.99386013</v>
      </c>
      <c r="Y224" s="81">
        <f t="shared" si="249"/>
        <v>503.8710628</v>
      </c>
    </row>
    <row r="225">
      <c r="A225" s="12"/>
      <c r="B225" s="77" t="s">
        <v>109</v>
      </c>
      <c r="C225" s="82"/>
      <c r="D225" s="83"/>
      <c r="E225" s="83"/>
      <c r="F225" s="83"/>
      <c r="G225" s="83"/>
      <c r="H225" s="83">
        <f t="shared" ref="H225:I225" si="250">SUM(H213:H224)</f>
        <v>1</v>
      </c>
      <c r="I225" s="84">
        <f t="shared" si="250"/>
        <v>60899.45504</v>
      </c>
      <c r="J225" s="84"/>
      <c r="K225" s="85">
        <f>SUM(K213:K224)</f>
        <v>66307</v>
      </c>
      <c r="L225" s="85"/>
      <c r="M225" s="85"/>
      <c r="N225" s="85"/>
      <c r="O225" s="85">
        <f t="shared" ref="O225:U225" si="251">SUM(O213:O224)</f>
        <v>5407.544962</v>
      </c>
      <c r="P225" s="48">
        <f t="shared" si="251"/>
        <v>34159.32143</v>
      </c>
      <c r="Q225" s="85">
        <f t="shared" si="251"/>
        <v>629.802025</v>
      </c>
      <c r="R225" s="85">
        <f t="shared" si="251"/>
        <v>442.4656905</v>
      </c>
      <c r="S225" s="85">
        <f t="shared" si="251"/>
        <v>1072.267715</v>
      </c>
      <c r="T225" s="85">
        <f t="shared" si="251"/>
        <v>442.4656905</v>
      </c>
      <c r="U225" s="85">
        <f t="shared" si="251"/>
        <v>367.7130574</v>
      </c>
      <c r="V225" s="48">
        <f t="shared" si="246"/>
        <v>1514.733406</v>
      </c>
      <c r="W225" s="85">
        <f t="shared" ref="W225:Y225" si="252">SUM(W213:W224)</f>
        <v>1882.446463</v>
      </c>
      <c r="X225" s="85">
        <f t="shared" si="252"/>
        <v>132.7974274</v>
      </c>
      <c r="Y225" s="85">
        <f t="shared" si="252"/>
        <v>2015.243891</v>
      </c>
    </row>
    <row r="227">
      <c r="A227" s="76">
        <v>14.0</v>
      </c>
      <c r="B227" s="12" t="s">
        <v>128</v>
      </c>
      <c r="C227" s="12"/>
      <c r="D227" s="15"/>
      <c r="E227" s="15"/>
      <c r="F227" s="15"/>
      <c r="G227" s="15"/>
      <c r="H227" s="15">
        <f>$H$1* POWER((1 -$O$1),A227)</f>
        <v>60594.95776</v>
      </c>
      <c r="I227" s="1" t="s">
        <v>132</v>
      </c>
      <c r="J227" s="1"/>
      <c r="K227" s="8">
        <f>H227/K241</f>
        <v>0.9138546121</v>
      </c>
      <c r="L227" s="8"/>
      <c r="M227" s="8"/>
      <c r="N227" s="8"/>
      <c r="O227" s="1" t="s">
        <v>133</v>
      </c>
      <c r="P227" s="6">
        <f>1-K227</f>
        <v>0.08614538794</v>
      </c>
      <c r="Q227" s="12" t="s">
        <v>74</v>
      </c>
      <c r="T227" s="12" t="s">
        <v>78</v>
      </c>
      <c r="U227" s="12"/>
      <c r="V227" s="12"/>
      <c r="W227" s="12"/>
      <c r="X227" s="12"/>
      <c r="Y227" s="12"/>
    </row>
    <row r="228">
      <c r="A228" s="12"/>
      <c r="B228" s="77" t="s">
        <v>83</v>
      </c>
      <c r="C228" s="20" t="s">
        <v>88</v>
      </c>
      <c r="D228" s="20" t="s">
        <v>84</v>
      </c>
      <c r="E228" s="20" t="s">
        <v>85</v>
      </c>
      <c r="F228" s="20" t="s">
        <v>86</v>
      </c>
      <c r="G228" s="20" t="s">
        <v>87</v>
      </c>
      <c r="H228" s="20" t="s">
        <v>134</v>
      </c>
      <c r="I228" s="44" t="s">
        <v>135</v>
      </c>
      <c r="J228" s="53" t="s">
        <v>92</v>
      </c>
      <c r="K228" s="20" t="s">
        <v>89</v>
      </c>
      <c r="L228" s="53" t="s">
        <v>90</v>
      </c>
      <c r="M228" s="53" t="s">
        <v>136</v>
      </c>
      <c r="N228" s="53" t="s">
        <v>137</v>
      </c>
      <c r="O228" s="20" t="s">
        <v>138</v>
      </c>
      <c r="P228" s="20" t="s">
        <v>139</v>
      </c>
      <c r="Q228" s="78" t="s">
        <v>76</v>
      </c>
      <c r="R228" s="78" t="s">
        <v>82</v>
      </c>
      <c r="S228" s="78" t="s">
        <v>109</v>
      </c>
      <c r="T228" s="78" t="s">
        <v>80</v>
      </c>
      <c r="U228" s="78" t="s">
        <v>67</v>
      </c>
      <c r="V228" s="45" t="s">
        <v>114</v>
      </c>
      <c r="W228" s="79" t="s">
        <v>115</v>
      </c>
      <c r="X228" s="79" t="s">
        <v>60</v>
      </c>
      <c r="Y228" s="79" t="s">
        <v>109</v>
      </c>
    </row>
    <row r="229">
      <c r="A229" s="12"/>
      <c r="B229" s="80" t="s">
        <v>117</v>
      </c>
      <c r="C229" s="24">
        <v>31.0</v>
      </c>
      <c r="D229" s="22">
        <v>8.45</v>
      </c>
      <c r="E229" s="23">
        <f t="shared" ref="E229:E240" si="253">D229/24</f>
        <v>0.3520833333</v>
      </c>
      <c r="F229" s="22">
        <f t="shared" ref="F229:F240" si="254">24-D229</f>
        <v>15.55</v>
      </c>
      <c r="G229" s="23">
        <f t="shared" ref="G229:G240" si="255">F229/24</f>
        <v>0.6479166667</v>
      </c>
      <c r="H229" s="59">
        <v>0.02731296772</v>
      </c>
      <c r="I229" s="60">
        <f t="shared" ref="I229:I240" si="256">H$227*H229</f>
        <v>1655.028125</v>
      </c>
      <c r="J229" s="61">
        <f t="shared" ref="J229:J240" si="257">I229/C229/D229</f>
        <v>6.318106987</v>
      </c>
      <c r="K229" s="25">
        <v>5726.0</v>
      </c>
      <c r="L229" s="62">
        <f t="shared" ref="L229:L240" si="258">K229/C229/24</f>
        <v>7.696236559</v>
      </c>
      <c r="M229" s="63">
        <f t="shared" ref="M229:M240" si="259">IF((J229/L229)&gt;1,1,J229/L229)</f>
        <v>0.8209346138</v>
      </c>
      <c r="N229" s="63">
        <f t="shared" ref="N229:N240" si="260">1-E229*M229</f>
        <v>0.7109626047</v>
      </c>
      <c r="O229" s="25">
        <f t="shared" ref="O229:O240" si="261">K229-I229</f>
        <v>4070.971875</v>
      </c>
      <c r="P229" s="25">
        <f t="shared" ref="P229:P240" si="262">K229*N229</f>
        <v>4070.971875</v>
      </c>
      <c r="Q229" s="64">
        <f>C229*'Rate Codes'!$D$7</f>
        <v>53.490035</v>
      </c>
      <c r="R229" s="25">
        <f>P229*'Rate Codes'!$D$8</f>
        <v>52.73129869</v>
      </c>
      <c r="S229" s="81">
        <f t="shared" ref="S229:S240" si="263">SUM(Q229:R229)</f>
        <v>106.2213337</v>
      </c>
      <c r="T229" s="66">
        <f>P229*'Rate Codes'!$D$8</f>
        <v>52.73129869</v>
      </c>
      <c r="U229" s="67">
        <f>(O229)*'Billing Rate'!$B$1</f>
        <v>276.8260875</v>
      </c>
      <c r="V229" s="25">
        <f t="shared" ref="V229:V241" si="264">S229+T229</f>
        <v>158.9526324</v>
      </c>
      <c r="W229" s="81">
        <f t="shared" ref="W229:W240" si="265">U229+S229+T229</f>
        <v>435.7787199</v>
      </c>
      <c r="X229" s="25">
        <f t="shared" ref="X229:X240" si="266">(IF(U229&gt;0,U229,0)+V229)*0.05</f>
        <v>21.78893599</v>
      </c>
      <c r="Y229" s="81">
        <f t="shared" ref="Y229:Y240" si="267">W229+X229</f>
        <v>457.5676559</v>
      </c>
    </row>
    <row r="230">
      <c r="A230" s="12"/>
      <c r="B230" s="80" t="s">
        <v>118</v>
      </c>
      <c r="C230" s="24">
        <v>28.0</v>
      </c>
      <c r="D230" s="22">
        <v>9.9167</v>
      </c>
      <c r="E230" s="23">
        <f t="shared" si="253"/>
        <v>0.4131958333</v>
      </c>
      <c r="F230" s="22">
        <f t="shared" si="254"/>
        <v>14.0833</v>
      </c>
      <c r="G230" s="23">
        <f t="shared" si="255"/>
        <v>0.5868041667</v>
      </c>
      <c r="H230" s="59">
        <v>0.04620731865</v>
      </c>
      <c r="I230" s="60">
        <f t="shared" si="256"/>
        <v>2799.930522</v>
      </c>
      <c r="J230" s="61">
        <f t="shared" si="257"/>
        <v>10.0837495</v>
      </c>
      <c r="K230" s="25">
        <v>5279.0</v>
      </c>
      <c r="L230" s="62">
        <f t="shared" si="258"/>
        <v>7.855654762</v>
      </c>
      <c r="M230" s="63">
        <f t="shared" si="259"/>
        <v>1</v>
      </c>
      <c r="N230" s="63">
        <f t="shared" si="260"/>
        <v>0.5868041667</v>
      </c>
      <c r="O230" s="25">
        <f t="shared" si="261"/>
        <v>2479.069478</v>
      </c>
      <c r="P230" s="25">
        <f t="shared" si="262"/>
        <v>3097.739196</v>
      </c>
      <c r="Q230" s="64">
        <f>C230*'Rate Codes'!$D$7</f>
        <v>48.31358</v>
      </c>
      <c r="R230" s="25">
        <f>P230*'Rate Codes'!$D$8</f>
        <v>40.1250158</v>
      </c>
      <c r="S230" s="81">
        <f t="shared" si="263"/>
        <v>88.4385958</v>
      </c>
      <c r="T230" s="66">
        <f>P230*'Rate Codes'!$D$8</f>
        <v>40.1250158</v>
      </c>
      <c r="U230" s="67">
        <f>(O230)*'Billing Rate'!$B$1</f>
        <v>168.5767245</v>
      </c>
      <c r="V230" s="25">
        <f t="shared" si="264"/>
        <v>128.5636116</v>
      </c>
      <c r="W230" s="81">
        <f t="shared" si="265"/>
        <v>297.1403361</v>
      </c>
      <c r="X230" s="25">
        <f t="shared" si="266"/>
        <v>14.85701681</v>
      </c>
      <c r="Y230" s="81">
        <f t="shared" si="267"/>
        <v>311.9973529</v>
      </c>
    </row>
    <row r="231">
      <c r="A231" s="12"/>
      <c r="B231" s="80" t="s">
        <v>119</v>
      </c>
      <c r="C231" s="24">
        <v>31.0</v>
      </c>
      <c r="D231" s="22">
        <v>11.8</v>
      </c>
      <c r="E231" s="23">
        <f t="shared" si="253"/>
        <v>0.4916666667</v>
      </c>
      <c r="F231" s="22">
        <f t="shared" si="254"/>
        <v>12.2</v>
      </c>
      <c r="G231" s="23">
        <f t="shared" si="255"/>
        <v>0.5083333333</v>
      </c>
      <c r="H231" s="59">
        <v>0.08500831624</v>
      </c>
      <c r="I231" s="60">
        <f t="shared" si="256"/>
        <v>5151.075332</v>
      </c>
      <c r="J231" s="61">
        <f t="shared" si="257"/>
        <v>14.08167122</v>
      </c>
      <c r="K231" s="25">
        <v>4991.0</v>
      </c>
      <c r="L231" s="62">
        <f t="shared" si="258"/>
        <v>6.708333333</v>
      </c>
      <c r="M231" s="63">
        <f t="shared" si="259"/>
        <v>1</v>
      </c>
      <c r="N231" s="63">
        <f t="shared" si="260"/>
        <v>0.5083333333</v>
      </c>
      <c r="O231" s="25">
        <f t="shared" si="261"/>
        <v>-160.075332</v>
      </c>
      <c r="P231" s="25">
        <f t="shared" si="262"/>
        <v>2537.091667</v>
      </c>
      <c r="Q231" s="64">
        <f>C231*'Rate Codes'!$D$7</f>
        <v>53.490035</v>
      </c>
      <c r="R231" s="25">
        <f>P231*'Rate Codes'!$D$8</f>
        <v>32.86294836</v>
      </c>
      <c r="S231" s="81">
        <f t="shared" si="263"/>
        <v>86.35298336</v>
      </c>
      <c r="T231" s="66">
        <f>P231*'Rate Codes'!$D$8</f>
        <v>32.86294836</v>
      </c>
      <c r="U231" s="67">
        <f>(O231)*'Billing Rate'!$B$1</f>
        <v>-10.88512257</v>
      </c>
      <c r="V231" s="25">
        <f t="shared" si="264"/>
        <v>119.2159317</v>
      </c>
      <c r="W231" s="81">
        <f t="shared" si="265"/>
        <v>108.3308091</v>
      </c>
      <c r="X231" s="25">
        <f t="shared" si="266"/>
        <v>5.960796586</v>
      </c>
      <c r="Y231" s="81">
        <f t="shared" si="267"/>
        <v>114.2916057</v>
      </c>
    </row>
    <row r="232">
      <c r="A232" s="12"/>
      <c r="B232" s="80" t="s">
        <v>120</v>
      </c>
      <c r="C232" s="24">
        <v>30.0</v>
      </c>
      <c r="D232" s="22">
        <v>13.8</v>
      </c>
      <c r="E232" s="23">
        <f t="shared" si="253"/>
        <v>0.575</v>
      </c>
      <c r="F232" s="22">
        <f t="shared" si="254"/>
        <v>10.2</v>
      </c>
      <c r="G232" s="23">
        <f t="shared" si="255"/>
        <v>0.425</v>
      </c>
      <c r="H232" s="59">
        <v>0.108773175</v>
      </c>
      <c r="I232" s="60">
        <f t="shared" si="256"/>
        <v>6591.105945</v>
      </c>
      <c r="J232" s="61">
        <f t="shared" si="257"/>
        <v>15.92054576</v>
      </c>
      <c r="K232" s="25">
        <v>4952.0</v>
      </c>
      <c r="L232" s="62">
        <f t="shared" si="258"/>
        <v>6.877777778</v>
      </c>
      <c r="M232" s="63">
        <f t="shared" si="259"/>
        <v>1</v>
      </c>
      <c r="N232" s="63">
        <f t="shared" si="260"/>
        <v>0.425</v>
      </c>
      <c r="O232" s="25">
        <f t="shared" si="261"/>
        <v>-1639.105945</v>
      </c>
      <c r="P232" s="25">
        <f t="shared" si="262"/>
        <v>2104.6</v>
      </c>
      <c r="Q232" s="64">
        <f>C232*'Rate Codes'!$D$7</f>
        <v>51.76455</v>
      </c>
      <c r="R232" s="25">
        <f>P232*'Rate Codes'!$D$8</f>
        <v>27.2608838</v>
      </c>
      <c r="S232" s="81">
        <f t="shared" si="263"/>
        <v>79.0254338</v>
      </c>
      <c r="T232" s="66">
        <f>P232*'Rate Codes'!$D$8</f>
        <v>27.2608838</v>
      </c>
      <c r="U232" s="67">
        <f>(O232)*'Billing Rate'!$B$1</f>
        <v>-111.4592042</v>
      </c>
      <c r="V232" s="25">
        <f t="shared" si="264"/>
        <v>106.2863176</v>
      </c>
      <c r="W232" s="81">
        <f t="shared" si="265"/>
        <v>-5.172886644</v>
      </c>
      <c r="X232" s="25">
        <f t="shared" si="266"/>
        <v>5.31431588</v>
      </c>
      <c r="Y232" s="81">
        <f t="shared" si="267"/>
        <v>0.1414292361</v>
      </c>
    </row>
    <row r="233">
      <c r="A233" s="12"/>
      <c r="B233" s="80" t="s">
        <v>98</v>
      </c>
      <c r="C233" s="24">
        <v>31.0</v>
      </c>
      <c r="D233" s="22">
        <v>15.5333</v>
      </c>
      <c r="E233" s="23">
        <f t="shared" si="253"/>
        <v>0.6472208333</v>
      </c>
      <c r="F233" s="22">
        <f t="shared" si="254"/>
        <v>8.4667</v>
      </c>
      <c r="G233" s="23">
        <f t="shared" si="255"/>
        <v>0.3527791667</v>
      </c>
      <c r="H233" s="59">
        <v>0.1281742617</v>
      </c>
      <c r="I233" s="60">
        <f t="shared" si="256"/>
        <v>7766.713974</v>
      </c>
      <c r="J233" s="61">
        <f t="shared" si="257"/>
        <v>16.12916511</v>
      </c>
      <c r="K233" s="25">
        <v>5559.0</v>
      </c>
      <c r="L233" s="62">
        <f t="shared" si="258"/>
        <v>7.471774194</v>
      </c>
      <c r="M233" s="63">
        <f t="shared" si="259"/>
        <v>1</v>
      </c>
      <c r="N233" s="63">
        <f t="shared" si="260"/>
        <v>0.3527791667</v>
      </c>
      <c r="O233" s="25">
        <f t="shared" si="261"/>
        <v>-2207.713974</v>
      </c>
      <c r="P233" s="25">
        <f t="shared" si="262"/>
        <v>1961.099388</v>
      </c>
      <c r="Q233" s="64">
        <f>C233*'Rate Codes'!$D$7</f>
        <v>53.490035</v>
      </c>
      <c r="R233" s="25">
        <f>P233*'Rate Codes'!$D$8</f>
        <v>25.40212037</v>
      </c>
      <c r="S233" s="81">
        <f t="shared" si="263"/>
        <v>78.89215537</v>
      </c>
      <c r="T233" s="66">
        <f>P233*'Rate Codes'!$D$8</f>
        <v>25.40212037</v>
      </c>
      <c r="U233" s="67">
        <f>(O233)*'Billing Rate'!$B$1</f>
        <v>-150.1245502</v>
      </c>
      <c r="V233" s="25">
        <f t="shared" si="264"/>
        <v>104.2942757</v>
      </c>
      <c r="W233" s="81">
        <f t="shared" si="265"/>
        <v>-45.83027449</v>
      </c>
      <c r="X233" s="25">
        <f t="shared" si="266"/>
        <v>5.214713787</v>
      </c>
      <c r="Y233" s="81">
        <f t="shared" si="267"/>
        <v>-40.61556071</v>
      </c>
    </row>
    <row r="234">
      <c r="A234" s="12"/>
      <c r="B234" s="80" t="s">
        <v>121</v>
      </c>
      <c r="C234" s="24">
        <v>30.0</v>
      </c>
      <c r="D234" s="22">
        <v>16.4667</v>
      </c>
      <c r="E234" s="23">
        <f t="shared" si="253"/>
        <v>0.6861125</v>
      </c>
      <c r="F234" s="22">
        <f t="shared" si="254"/>
        <v>7.5333</v>
      </c>
      <c r="G234" s="23">
        <f t="shared" si="255"/>
        <v>0.3138875</v>
      </c>
      <c r="H234" s="59">
        <v>0.1254860808</v>
      </c>
      <c r="I234" s="60">
        <f t="shared" si="256"/>
        <v>7603.823766</v>
      </c>
      <c r="J234" s="61">
        <f t="shared" si="257"/>
        <v>15.39232464</v>
      </c>
      <c r="K234" s="25">
        <v>4964.0</v>
      </c>
      <c r="L234" s="62">
        <f t="shared" si="258"/>
        <v>6.894444444</v>
      </c>
      <c r="M234" s="63">
        <f t="shared" si="259"/>
        <v>1</v>
      </c>
      <c r="N234" s="63">
        <f t="shared" si="260"/>
        <v>0.3138875</v>
      </c>
      <c r="O234" s="25">
        <f t="shared" si="261"/>
        <v>-2639.823766</v>
      </c>
      <c r="P234" s="25">
        <f t="shared" si="262"/>
        <v>1558.13755</v>
      </c>
      <c r="Q234" s="64">
        <f>C234*'Rate Codes'!$D$7</f>
        <v>51.76455</v>
      </c>
      <c r="R234" s="25">
        <f>P234*'Rate Codes'!$D$8</f>
        <v>20.18255569</v>
      </c>
      <c r="S234" s="81">
        <f t="shared" si="263"/>
        <v>71.94710569</v>
      </c>
      <c r="T234" s="66">
        <f>P234*'Rate Codes'!$D$8</f>
        <v>20.18255569</v>
      </c>
      <c r="U234" s="67">
        <f>(O234)*'Billing Rate'!$B$1</f>
        <v>-179.5080161</v>
      </c>
      <c r="V234" s="25">
        <f t="shared" si="264"/>
        <v>92.12966137</v>
      </c>
      <c r="W234" s="81">
        <f t="shared" si="265"/>
        <v>-87.3783547</v>
      </c>
      <c r="X234" s="25">
        <f t="shared" si="266"/>
        <v>4.606483069</v>
      </c>
      <c r="Y234" s="81">
        <f t="shared" si="267"/>
        <v>-82.77187164</v>
      </c>
    </row>
    <row r="235">
      <c r="A235" s="12"/>
      <c r="B235" s="80" t="s">
        <v>122</v>
      </c>
      <c r="C235" s="24">
        <v>31.0</v>
      </c>
      <c r="D235" s="22">
        <v>16.05</v>
      </c>
      <c r="E235" s="23">
        <f t="shared" si="253"/>
        <v>0.66875</v>
      </c>
      <c r="F235" s="22">
        <f t="shared" si="254"/>
        <v>7.95</v>
      </c>
      <c r="G235" s="23">
        <f t="shared" si="255"/>
        <v>0.33125</v>
      </c>
      <c r="H235" s="59">
        <v>0.1449493112</v>
      </c>
      <c r="I235" s="60">
        <f t="shared" si="256"/>
        <v>8783.19739</v>
      </c>
      <c r="J235" s="61">
        <f t="shared" si="257"/>
        <v>17.65289396</v>
      </c>
      <c r="K235" s="25">
        <v>6634.0</v>
      </c>
      <c r="L235" s="62">
        <f t="shared" si="258"/>
        <v>8.916666667</v>
      </c>
      <c r="M235" s="63">
        <f t="shared" si="259"/>
        <v>1</v>
      </c>
      <c r="N235" s="63">
        <f t="shared" si="260"/>
        <v>0.33125</v>
      </c>
      <c r="O235" s="25">
        <f t="shared" si="261"/>
        <v>-2149.19739</v>
      </c>
      <c r="P235" s="25">
        <f t="shared" si="262"/>
        <v>2197.5125</v>
      </c>
      <c r="Q235" s="64">
        <f>C235*'Rate Codes'!$D$7</f>
        <v>53.490035</v>
      </c>
      <c r="R235" s="25">
        <f>P235*'Rate Codes'!$D$8</f>
        <v>28.46437941</v>
      </c>
      <c r="S235" s="81">
        <f t="shared" si="263"/>
        <v>81.95441441</v>
      </c>
      <c r="T235" s="66">
        <f>P235*'Rate Codes'!$D$8</f>
        <v>28.46437941</v>
      </c>
      <c r="U235" s="67">
        <f>(O235)*'Billing Rate'!$B$1</f>
        <v>-146.1454225</v>
      </c>
      <c r="V235" s="25">
        <f t="shared" si="264"/>
        <v>110.4187938</v>
      </c>
      <c r="W235" s="81">
        <f t="shared" si="265"/>
        <v>-35.72662868</v>
      </c>
      <c r="X235" s="25">
        <f t="shared" si="266"/>
        <v>5.520939691</v>
      </c>
      <c r="Y235" s="81">
        <f t="shared" si="267"/>
        <v>-30.20568899</v>
      </c>
    </row>
    <row r="236">
      <c r="A236" s="12"/>
      <c r="B236" s="80" t="s">
        <v>123</v>
      </c>
      <c r="C236" s="24">
        <v>31.0</v>
      </c>
      <c r="D236" s="22">
        <v>14.5167</v>
      </c>
      <c r="E236" s="23">
        <f t="shared" si="253"/>
        <v>0.6048625</v>
      </c>
      <c r="F236" s="22">
        <f t="shared" si="254"/>
        <v>9.4833</v>
      </c>
      <c r="G236" s="23">
        <f t="shared" si="255"/>
        <v>0.3951375</v>
      </c>
      <c r="H236" s="59">
        <v>0.1246952409</v>
      </c>
      <c r="I236" s="60">
        <f t="shared" si="256"/>
        <v>7555.902855</v>
      </c>
      <c r="J236" s="61">
        <f t="shared" si="257"/>
        <v>16.79023482</v>
      </c>
      <c r="K236" s="25">
        <v>5909.0</v>
      </c>
      <c r="L236" s="62">
        <f t="shared" si="258"/>
        <v>7.942204301</v>
      </c>
      <c r="M236" s="63">
        <f t="shared" si="259"/>
        <v>1</v>
      </c>
      <c r="N236" s="63">
        <f t="shared" si="260"/>
        <v>0.3951375</v>
      </c>
      <c r="O236" s="25">
        <f t="shared" si="261"/>
        <v>-1646.902855</v>
      </c>
      <c r="P236" s="25">
        <f t="shared" si="262"/>
        <v>2334.867488</v>
      </c>
      <c r="Q236" s="64">
        <f>C236*'Rate Codes'!$D$7</f>
        <v>53.490035</v>
      </c>
      <c r="R236" s="25">
        <f>P236*'Rate Codes'!$D$8</f>
        <v>30.24353857</v>
      </c>
      <c r="S236" s="81">
        <f t="shared" si="263"/>
        <v>83.73357357</v>
      </c>
      <c r="T236" s="66">
        <f>P236*'Rate Codes'!$D$8</f>
        <v>30.24353857</v>
      </c>
      <c r="U236" s="67">
        <f>(O236)*'Billing Rate'!$B$1</f>
        <v>-111.9893942</v>
      </c>
      <c r="V236" s="25">
        <f t="shared" si="264"/>
        <v>113.9771121</v>
      </c>
      <c r="W236" s="81">
        <f t="shared" si="265"/>
        <v>1.98771796</v>
      </c>
      <c r="X236" s="25">
        <f t="shared" si="266"/>
        <v>5.698855607</v>
      </c>
      <c r="Y236" s="81">
        <f t="shared" si="267"/>
        <v>7.686573567</v>
      </c>
    </row>
    <row r="237">
      <c r="A237" s="12"/>
      <c r="B237" s="80" t="s">
        <v>124</v>
      </c>
      <c r="C237" s="24">
        <v>30.0</v>
      </c>
      <c r="D237" s="22">
        <v>12.5833</v>
      </c>
      <c r="E237" s="23">
        <f t="shared" si="253"/>
        <v>0.5243041667</v>
      </c>
      <c r="F237" s="22">
        <f t="shared" si="254"/>
        <v>11.4167</v>
      </c>
      <c r="G237" s="23">
        <f t="shared" si="255"/>
        <v>0.4756958333</v>
      </c>
      <c r="H237" s="59">
        <v>0.09825803101</v>
      </c>
      <c r="I237" s="60">
        <f t="shared" si="256"/>
        <v>5953.941239</v>
      </c>
      <c r="J237" s="61">
        <f t="shared" si="257"/>
        <v>15.77207155</v>
      </c>
      <c r="K237" s="25">
        <v>5270.0</v>
      </c>
      <c r="L237" s="62">
        <f t="shared" si="258"/>
        <v>7.319444444</v>
      </c>
      <c r="M237" s="63">
        <f t="shared" si="259"/>
        <v>1</v>
      </c>
      <c r="N237" s="63">
        <f t="shared" si="260"/>
        <v>0.4756958333</v>
      </c>
      <c r="O237" s="25">
        <f t="shared" si="261"/>
        <v>-683.9412388</v>
      </c>
      <c r="P237" s="25">
        <f t="shared" si="262"/>
        <v>2506.917042</v>
      </c>
      <c r="Q237" s="64">
        <f>C237*'Rate Codes'!$D$7</f>
        <v>51.76455</v>
      </c>
      <c r="R237" s="25">
        <f>P237*'Rate Codes'!$D$8</f>
        <v>32.47209644</v>
      </c>
      <c r="S237" s="81">
        <f t="shared" si="263"/>
        <v>84.23664644</v>
      </c>
      <c r="T237" s="66">
        <f>P237*'Rate Codes'!$D$8</f>
        <v>32.47209644</v>
      </c>
      <c r="U237" s="67">
        <f>(O237)*'Billing Rate'!$B$1</f>
        <v>-46.50800424</v>
      </c>
      <c r="V237" s="25">
        <f t="shared" si="264"/>
        <v>116.7087429</v>
      </c>
      <c r="W237" s="81">
        <f t="shared" si="265"/>
        <v>70.20073864</v>
      </c>
      <c r="X237" s="25">
        <f t="shared" si="266"/>
        <v>5.835437144</v>
      </c>
      <c r="Y237" s="81">
        <f t="shared" si="267"/>
        <v>76.03617579</v>
      </c>
    </row>
    <row r="238">
      <c r="A238" s="12"/>
      <c r="B238" s="80" t="s">
        <v>125</v>
      </c>
      <c r="C238" s="24">
        <v>31.0</v>
      </c>
      <c r="D238" s="22">
        <v>10.5833</v>
      </c>
      <c r="E238" s="23">
        <f t="shared" si="253"/>
        <v>0.4409708333</v>
      </c>
      <c r="F238" s="22">
        <f t="shared" si="254"/>
        <v>13.4167</v>
      </c>
      <c r="G238" s="23">
        <f t="shared" si="255"/>
        <v>0.5590291667</v>
      </c>
      <c r="H238" s="59">
        <v>0.06840443866</v>
      </c>
      <c r="I238" s="60">
        <f t="shared" si="256"/>
        <v>4144.964071</v>
      </c>
      <c r="J238" s="61">
        <f t="shared" si="257"/>
        <v>12.63391555</v>
      </c>
      <c r="K238" s="25">
        <v>5946.0</v>
      </c>
      <c r="L238" s="62">
        <f t="shared" si="258"/>
        <v>7.991935484</v>
      </c>
      <c r="M238" s="63">
        <f t="shared" si="259"/>
        <v>1</v>
      </c>
      <c r="N238" s="63">
        <f t="shared" si="260"/>
        <v>0.5590291667</v>
      </c>
      <c r="O238" s="25">
        <f t="shared" si="261"/>
        <v>1801.035929</v>
      </c>
      <c r="P238" s="25">
        <f t="shared" si="262"/>
        <v>3323.987425</v>
      </c>
      <c r="Q238" s="64">
        <f>C238*'Rate Codes'!$D$7</f>
        <v>53.490035</v>
      </c>
      <c r="R238" s="25">
        <f>P238*'Rate Codes'!$D$8</f>
        <v>43.05560912</v>
      </c>
      <c r="S238" s="81">
        <f t="shared" si="263"/>
        <v>96.54564412</v>
      </c>
      <c r="T238" s="66">
        <f>P238*'Rate Codes'!$D$8</f>
        <v>43.05560912</v>
      </c>
      <c r="U238" s="67">
        <f>(O238)*'Billing Rate'!$B$1</f>
        <v>122.4704431</v>
      </c>
      <c r="V238" s="25">
        <f t="shared" si="264"/>
        <v>139.6012532</v>
      </c>
      <c r="W238" s="81">
        <f t="shared" si="265"/>
        <v>262.0716964</v>
      </c>
      <c r="X238" s="25">
        <f t="shared" si="266"/>
        <v>13.10358482</v>
      </c>
      <c r="Y238" s="81">
        <f t="shared" si="267"/>
        <v>275.1752812</v>
      </c>
    </row>
    <row r="239">
      <c r="A239" s="12"/>
      <c r="B239" s="80" t="s">
        <v>126</v>
      </c>
      <c r="C239" s="24">
        <v>30.0</v>
      </c>
      <c r="D239" s="22">
        <v>8.85</v>
      </c>
      <c r="E239" s="23">
        <f t="shared" si="253"/>
        <v>0.36875</v>
      </c>
      <c r="F239" s="22">
        <f t="shared" si="254"/>
        <v>15.15</v>
      </c>
      <c r="G239" s="23">
        <f t="shared" si="255"/>
        <v>0.63125</v>
      </c>
      <c r="H239" s="59">
        <v>0.0271408052</v>
      </c>
      <c r="I239" s="60">
        <f t="shared" si="256"/>
        <v>1644.595945</v>
      </c>
      <c r="J239" s="61">
        <f t="shared" si="257"/>
        <v>6.194335008</v>
      </c>
      <c r="K239" s="25">
        <v>5587.0</v>
      </c>
      <c r="L239" s="62">
        <f t="shared" si="258"/>
        <v>7.759722222</v>
      </c>
      <c r="M239" s="63">
        <f t="shared" si="259"/>
        <v>0.7982676223</v>
      </c>
      <c r="N239" s="63">
        <f t="shared" si="260"/>
        <v>0.7056388143</v>
      </c>
      <c r="O239" s="25">
        <f t="shared" si="261"/>
        <v>3942.404055</v>
      </c>
      <c r="P239" s="25">
        <f t="shared" si="262"/>
        <v>3942.404055</v>
      </c>
      <c r="Q239" s="64">
        <f>C239*'Rate Codes'!$D$7</f>
        <v>51.76455</v>
      </c>
      <c r="R239" s="25">
        <f>P239*'Rate Codes'!$D$8</f>
        <v>51.06595973</v>
      </c>
      <c r="S239" s="81">
        <f t="shared" si="263"/>
        <v>102.8305097</v>
      </c>
      <c r="T239" s="66">
        <f>P239*'Rate Codes'!$D$8</f>
        <v>51.06595973</v>
      </c>
      <c r="U239" s="67">
        <f>(O239)*'Billing Rate'!$B$1</f>
        <v>268.0834758</v>
      </c>
      <c r="V239" s="25">
        <f t="shared" si="264"/>
        <v>153.8964695</v>
      </c>
      <c r="W239" s="81">
        <f t="shared" si="265"/>
        <v>421.9799452</v>
      </c>
      <c r="X239" s="25">
        <f t="shared" si="266"/>
        <v>21.09899726</v>
      </c>
      <c r="Y239" s="81">
        <f t="shared" si="267"/>
        <v>443.0789425</v>
      </c>
    </row>
    <row r="240">
      <c r="A240" s="12"/>
      <c r="B240" s="80" t="s">
        <v>127</v>
      </c>
      <c r="C240" s="24">
        <v>31.0</v>
      </c>
      <c r="D240" s="22">
        <v>7.9667</v>
      </c>
      <c r="E240" s="23">
        <f t="shared" si="253"/>
        <v>0.3319458333</v>
      </c>
      <c r="F240" s="22">
        <f t="shared" si="254"/>
        <v>16.0333</v>
      </c>
      <c r="G240" s="23">
        <f t="shared" si="255"/>
        <v>0.6680541667</v>
      </c>
      <c r="H240" s="59">
        <v>0.01559005293</v>
      </c>
      <c r="I240" s="60">
        <f t="shared" si="256"/>
        <v>944.6785988</v>
      </c>
      <c r="J240" s="61">
        <f t="shared" si="257"/>
        <v>3.825109918</v>
      </c>
      <c r="K240" s="25">
        <v>5490.0</v>
      </c>
      <c r="L240" s="62">
        <f t="shared" si="258"/>
        <v>7.379032258</v>
      </c>
      <c r="M240" s="63">
        <f t="shared" si="259"/>
        <v>0.5183755518</v>
      </c>
      <c r="N240" s="63">
        <f t="shared" si="260"/>
        <v>0.8279273955</v>
      </c>
      <c r="O240" s="25">
        <f t="shared" si="261"/>
        <v>4545.321401</v>
      </c>
      <c r="P240" s="25">
        <f t="shared" si="262"/>
        <v>4545.321401</v>
      </c>
      <c r="Q240" s="64">
        <f>C240*'Rate Codes'!$D$7</f>
        <v>53.490035</v>
      </c>
      <c r="R240" s="25">
        <f>P240*'Rate Codes'!$D$8</f>
        <v>58.87554811</v>
      </c>
      <c r="S240" s="81">
        <f t="shared" si="263"/>
        <v>112.3655831</v>
      </c>
      <c r="T240" s="66">
        <f>P240*'Rate Codes'!$D$8</f>
        <v>58.87554811</v>
      </c>
      <c r="U240" s="67">
        <f>(O240)*'Billing Rate'!$B$1</f>
        <v>309.0818553</v>
      </c>
      <c r="V240" s="25">
        <f t="shared" si="264"/>
        <v>171.2411312</v>
      </c>
      <c r="W240" s="81">
        <f t="shared" si="265"/>
        <v>480.3229865</v>
      </c>
      <c r="X240" s="25">
        <f t="shared" si="266"/>
        <v>24.01614933</v>
      </c>
      <c r="Y240" s="81">
        <f t="shared" si="267"/>
        <v>504.3391358</v>
      </c>
    </row>
    <row r="241">
      <c r="A241" s="12"/>
      <c r="B241" s="77" t="s">
        <v>109</v>
      </c>
      <c r="C241" s="82"/>
      <c r="D241" s="83"/>
      <c r="E241" s="83"/>
      <c r="F241" s="83"/>
      <c r="G241" s="83"/>
      <c r="H241" s="83">
        <f t="shared" ref="H241:I241" si="268">SUM(H229:H240)</f>
        <v>1</v>
      </c>
      <c r="I241" s="84">
        <f t="shared" si="268"/>
        <v>60594.95776</v>
      </c>
      <c r="J241" s="84"/>
      <c r="K241" s="85">
        <f>SUM(K229:K240)</f>
        <v>66307</v>
      </c>
      <c r="L241" s="85"/>
      <c r="M241" s="85"/>
      <c r="N241" s="85"/>
      <c r="O241" s="85">
        <f t="shared" ref="O241:U241" si="269">SUM(O229:O240)</f>
        <v>5712.042237</v>
      </c>
      <c r="P241" s="48">
        <f t="shared" si="269"/>
        <v>34180.64959</v>
      </c>
      <c r="Q241" s="85">
        <f t="shared" si="269"/>
        <v>629.802025</v>
      </c>
      <c r="R241" s="85">
        <f t="shared" si="269"/>
        <v>442.7419541</v>
      </c>
      <c r="S241" s="85">
        <f t="shared" si="269"/>
        <v>1072.543979</v>
      </c>
      <c r="T241" s="85">
        <f t="shared" si="269"/>
        <v>442.7419541</v>
      </c>
      <c r="U241" s="85">
        <f t="shared" si="269"/>
        <v>388.4188721</v>
      </c>
      <c r="V241" s="48">
        <f t="shared" si="264"/>
        <v>1515.285933</v>
      </c>
      <c r="W241" s="85">
        <f t="shared" ref="W241:Y241" si="270">SUM(W229:W240)</f>
        <v>1903.704805</v>
      </c>
      <c r="X241" s="85">
        <f t="shared" si="270"/>
        <v>133.016226</v>
      </c>
      <c r="Y241" s="85">
        <f t="shared" si="270"/>
        <v>2036.721031</v>
      </c>
    </row>
    <row r="243">
      <c r="A243" s="76">
        <v>15.0</v>
      </c>
      <c r="B243" s="12" t="s">
        <v>128</v>
      </c>
      <c r="C243" s="12"/>
      <c r="D243" s="15"/>
      <c r="E243" s="15"/>
      <c r="F243" s="15"/>
      <c r="G243" s="15"/>
      <c r="H243" s="15">
        <f>$H$1* POWER((1 -$O$1),A243)</f>
        <v>60291.98297</v>
      </c>
      <c r="I243" s="1" t="s">
        <v>132</v>
      </c>
      <c r="J243" s="1"/>
      <c r="K243" s="8">
        <f>H243/K257</f>
        <v>0.909285339</v>
      </c>
      <c r="L243" s="8"/>
      <c r="M243" s="8"/>
      <c r="N243" s="8"/>
      <c r="O243" s="1" t="s">
        <v>133</v>
      </c>
      <c r="P243" s="6">
        <f>1-K243</f>
        <v>0.090714661</v>
      </c>
      <c r="Q243" s="12" t="s">
        <v>74</v>
      </c>
      <c r="T243" s="12" t="s">
        <v>78</v>
      </c>
      <c r="U243" s="12"/>
      <c r="V243" s="12"/>
      <c r="W243" s="12"/>
      <c r="X243" s="12"/>
      <c r="Y243" s="12"/>
    </row>
    <row r="244">
      <c r="A244" s="12"/>
      <c r="B244" s="77" t="s">
        <v>83</v>
      </c>
      <c r="C244" s="20" t="s">
        <v>88</v>
      </c>
      <c r="D244" s="20" t="s">
        <v>84</v>
      </c>
      <c r="E244" s="20" t="s">
        <v>85</v>
      </c>
      <c r="F244" s="20" t="s">
        <v>86</v>
      </c>
      <c r="G244" s="20" t="s">
        <v>87</v>
      </c>
      <c r="H244" s="20" t="s">
        <v>134</v>
      </c>
      <c r="I244" s="44" t="s">
        <v>135</v>
      </c>
      <c r="J244" s="53" t="s">
        <v>92</v>
      </c>
      <c r="K244" s="20" t="s">
        <v>89</v>
      </c>
      <c r="L244" s="53" t="s">
        <v>90</v>
      </c>
      <c r="M244" s="53" t="s">
        <v>136</v>
      </c>
      <c r="N244" s="53" t="s">
        <v>137</v>
      </c>
      <c r="O244" s="20" t="s">
        <v>138</v>
      </c>
      <c r="P244" s="20" t="s">
        <v>139</v>
      </c>
      <c r="Q244" s="78" t="s">
        <v>76</v>
      </c>
      <c r="R244" s="78" t="s">
        <v>82</v>
      </c>
      <c r="S244" s="78" t="s">
        <v>109</v>
      </c>
      <c r="T244" s="78" t="s">
        <v>80</v>
      </c>
      <c r="U244" s="78" t="s">
        <v>67</v>
      </c>
      <c r="V244" s="45" t="s">
        <v>114</v>
      </c>
      <c r="W244" s="79" t="s">
        <v>115</v>
      </c>
      <c r="X244" s="79" t="s">
        <v>60</v>
      </c>
      <c r="Y244" s="79" t="s">
        <v>109</v>
      </c>
    </row>
    <row r="245">
      <c r="A245" s="12"/>
      <c r="B245" s="80" t="s">
        <v>117</v>
      </c>
      <c r="C245" s="24">
        <v>31.0</v>
      </c>
      <c r="D245" s="22">
        <v>8.45</v>
      </c>
      <c r="E245" s="23">
        <f t="shared" ref="E245:E256" si="271">D245/24</f>
        <v>0.3520833333</v>
      </c>
      <c r="F245" s="22">
        <f t="shared" ref="F245:F256" si="272">24-D245</f>
        <v>15.55</v>
      </c>
      <c r="G245" s="23">
        <f t="shared" ref="G245:G256" si="273">F245/24</f>
        <v>0.6479166667</v>
      </c>
      <c r="H245" s="59">
        <v>0.02731296772</v>
      </c>
      <c r="I245" s="60">
        <f t="shared" ref="I245:I256" si="274">H$243*H245</f>
        <v>1646.752985</v>
      </c>
      <c r="J245" s="61">
        <f t="shared" ref="J245:J256" si="275">I245/C245/D245</f>
        <v>6.286516452</v>
      </c>
      <c r="K245" s="25">
        <v>5726.0</v>
      </c>
      <c r="L245" s="62">
        <f t="shared" ref="L245:L256" si="276">K245/C245/24</f>
        <v>7.696236559</v>
      </c>
      <c r="M245" s="63">
        <f t="shared" ref="M245:M256" si="277">IF((J245/L245)&gt;1,1,J245/L245)</f>
        <v>0.8168299407</v>
      </c>
      <c r="N245" s="63">
        <f t="shared" ref="N245:N256" si="278">1-E245*M245</f>
        <v>0.7124077917</v>
      </c>
      <c r="O245" s="25">
        <f t="shared" ref="O245:O256" si="279">K245-I245</f>
        <v>4079.247015</v>
      </c>
      <c r="P245" s="25">
        <f t="shared" ref="P245:P256" si="280">K245*N245</f>
        <v>4079.247015</v>
      </c>
      <c r="Q245" s="64">
        <f>C245*'Rate Codes'!$D$7</f>
        <v>53.490035</v>
      </c>
      <c r="R245" s="25">
        <f>P245*'Rate Codes'!$D$8</f>
        <v>52.83848659</v>
      </c>
      <c r="S245" s="81">
        <f t="shared" ref="S245:S256" si="281">SUM(Q245:R245)</f>
        <v>106.3285216</v>
      </c>
      <c r="T245" s="66">
        <f>P245*'Rate Codes'!$D$8</f>
        <v>52.83848659</v>
      </c>
      <c r="U245" s="67">
        <f>(O245)*'Billing Rate'!$B$1</f>
        <v>277.388797</v>
      </c>
      <c r="V245" s="25">
        <f t="shared" ref="V245:V257" si="282">S245+T245</f>
        <v>159.1670082</v>
      </c>
      <c r="W245" s="81">
        <f t="shared" ref="W245:W256" si="283">U245+S245+T245</f>
        <v>436.5558052</v>
      </c>
      <c r="X245" s="25">
        <f t="shared" ref="X245:X256" si="284">(IF(U245&gt;0,U245,0)+V245)*0.05</f>
        <v>21.82779026</v>
      </c>
      <c r="Y245" s="81">
        <f t="shared" ref="Y245:Y256" si="285">W245+X245</f>
        <v>458.3835955</v>
      </c>
    </row>
    <row r="246">
      <c r="A246" s="12"/>
      <c r="B246" s="80" t="s">
        <v>118</v>
      </c>
      <c r="C246" s="24">
        <v>28.0</v>
      </c>
      <c r="D246" s="22">
        <v>9.9167</v>
      </c>
      <c r="E246" s="23">
        <f t="shared" si="271"/>
        <v>0.4131958333</v>
      </c>
      <c r="F246" s="22">
        <f t="shared" si="272"/>
        <v>14.0833</v>
      </c>
      <c r="G246" s="23">
        <f t="shared" si="273"/>
        <v>0.5868041667</v>
      </c>
      <c r="H246" s="59">
        <v>0.04620731865</v>
      </c>
      <c r="I246" s="60">
        <f t="shared" si="274"/>
        <v>2785.930869</v>
      </c>
      <c r="J246" s="61">
        <f t="shared" si="275"/>
        <v>10.03333075</v>
      </c>
      <c r="K246" s="25">
        <v>5279.0</v>
      </c>
      <c r="L246" s="62">
        <f t="shared" si="276"/>
        <v>7.855654762</v>
      </c>
      <c r="M246" s="63">
        <f t="shared" si="277"/>
        <v>1</v>
      </c>
      <c r="N246" s="63">
        <f t="shared" si="278"/>
        <v>0.5868041667</v>
      </c>
      <c r="O246" s="25">
        <f t="shared" si="279"/>
        <v>2493.069131</v>
      </c>
      <c r="P246" s="25">
        <f t="shared" si="280"/>
        <v>3097.739196</v>
      </c>
      <c r="Q246" s="64">
        <f>C246*'Rate Codes'!$D$7</f>
        <v>48.31358</v>
      </c>
      <c r="R246" s="25">
        <f>P246*'Rate Codes'!$D$8</f>
        <v>40.1250158</v>
      </c>
      <c r="S246" s="81">
        <f t="shared" si="281"/>
        <v>88.4385958</v>
      </c>
      <c r="T246" s="66">
        <f>P246*'Rate Codes'!$D$8</f>
        <v>40.1250158</v>
      </c>
      <c r="U246" s="67">
        <f>(O246)*'Billing Rate'!$B$1</f>
        <v>169.5287009</v>
      </c>
      <c r="V246" s="25">
        <f t="shared" si="282"/>
        <v>128.5636116</v>
      </c>
      <c r="W246" s="81">
        <f t="shared" si="283"/>
        <v>298.0923125</v>
      </c>
      <c r="X246" s="25">
        <f t="shared" si="284"/>
        <v>14.90461562</v>
      </c>
      <c r="Y246" s="81">
        <f t="shared" si="285"/>
        <v>312.9969281</v>
      </c>
    </row>
    <row r="247">
      <c r="A247" s="12"/>
      <c r="B247" s="80" t="s">
        <v>119</v>
      </c>
      <c r="C247" s="24">
        <v>31.0</v>
      </c>
      <c r="D247" s="22">
        <v>11.8</v>
      </c>
      <c r="E247" s="23">
        <f t="shared" si="271"/>
        <v>0.4916666667</v>
      </c>
      <c r="F247" s="22">
        <f t="shared" si="272"/>
        <v>12.2</v>
      </c>
      <c r="G247" s="23">
        <f t="shared" si="273"/>
        <v>0.5083333333</v>
      </c>
      <c r="H247" s="59">
        <v>0.08500831624</v>
      </c>
      <c r="I247" s="60">
        <f t="shared" si="274"/>
        <v>5125.319955</v>
      </c>
      <c r="J247" s="61">
        <f t="shared" si="275"/>
        <v>14.01126286</v>
      </c>
      <c r="K247" s="25">
        <v>4991.0</v>
      </c>
      <c r="L247" s="62">
        <f t="shared" si="276"/>
        <v>6.708333333</v>
      </c>
      <c r="M247" s="63">
        <f t="shared" si="277"/>
        <v>1</v>
      </c>
      <c r="N247" s="63">
        <f t="shared" si="278"/>
        <v>0.5083333333</v>
      </c>
      <c r="O247" s="25">
        <f t="shared" si="279"/>
        <v>-134.3199553</v>
      </c>
      <c r="P247" s="25">
        <f t="shared" si="280"/>
        <v>2537.091667</v>
      </c>
      <c r="Q247" s="64">
        <f>C247*'Rate Codes'!$D$7</f>
        <v>53.490035</v>
      </c>
      <c r="R247" s="25">
        <f>P247*'Rate Codes'!$D$8</f>
        <v>32.86294836</v>
      </c>
      <c r="S247" s="81">
        <f t="shared" si="281"/>
        <v>86.35298336</v>
      </c>
      <c r="T247" s="66">
        <f>P247*'Rate Codes'!$D$8</f>
        <v>32.86294836</v>
      </c>
      <c r="U247" s="67">
        <f>(O247)*'Billing Rate'!$B$1</f>
        <v>-9.133756962</v>
      </c>
      <c r="V247" s="25">
        <f t="shared" si="282"/>
        <v>119.2159317</v>
      </c>
      <c r="W247" s="81">
        <f t="shared" si="283"/>
        <v>110.0821748</v>
      </c>
      <c r="X247" s="25">
        <f t="shared" si="284"/>
        <v>5.960796586</v>
      </c>
      <c r="Y247" s="81">
        <f t="shared" si="285"/>
        <v>116.0429713</v>
      </c>
    </row>
    <row r="248">
      <c r="A248" s="12"/>
      <c r="B248" s="80" t="s">
        <v>120</v>
      </c>
      <c r="C248" s="24">
        <v>30.0</v>
      </c>
      <c r="D248" s="22">
        <v>13.8</v>
      </c>
      <c r="E248" s="23">
        <f t="shared" si="271"/>
        <v>0.575</v>
      </c>
      <c r="F248" s="22">
        <f t="shared" si="272"/>
        <v>10.2</v>
      </c>
      <c r="G248" s="23">
        <f t="shared" si="273"/>
        <v>0.425</v>
      </c>
      <c r="H248" s="59">
        <v>0.108773175</v>
      </c>
      <c r="I248" s="60">
        <f t="shared" si="274"/>
        <v>6558.150415</v>
      </c>
      <c r="J248" s="61">
        <f t="shared" si="275"/>
        <v>15.84094303</v>
      </c>
      <c r="K248" s="25">
        <v>4952.0</v>
      </c>
      <c r="L248" s="62">
        <f t="shared" si="276"/>
        <v>6.877777778</v>
      </c>
      <c r="M248" s="63">
        <f t="shared" si="277"/>
        <v>1</v>
      </c>
      <c r="N248" s="63">
        <f t="shared" si="278"/>
        <v>0.425</v>
      </c>
      <c r="O248" s="25">
        <f t="shared" si="279"/>
        <v>-1606.150415</v>
      </c>
      <c r="P248" s="25">
        <f t="shared" si="280"/>
        <v>2104.6</v>
      </c>
      <c r="Q248" s="64">
        <f>C248*'Rate Codes'!$D$7</f>
        <v>51.76455</v>
      </c>
      <c r="R248" s="25">
        <f>P248*'Rate Codes'!$D$8</f>
        <v>27.2608838</v>
      </c>
      <c r="S248" s="81">
        <f t="shared" si="281"/>
        <v>79.0254338</v>
      </c>
      <c r="T248" s="66">
        <f>P248*'Rate Codes'!$D$8</f>
        <v>27.2608838</v>
      </c>
      <c r="U248" s="67">
        <f>(O248)*'Billing Rate'!$B$1</f>
        <v>-109.2182282</v>
      </c>
      <c r="V248" s="25">
        <f t="shared" si="282"/>
        <v>106.2863176</v>
      </c>
      <c r="W248" s="81">
        <f t="shared" si="283"/>
        <v>-2.931910623</v>
      </c>
      <c r="X248" s="25">
        <f t="shared" si="284"/>
        <v>5.31431588</v>
      </c>
      <c r="Y248" s="81">
        <f t="shared" si="285"/>
        <v>2.382405257</v>
      </c>
    </row>
    <row r="249">
      <c r="A249" s="12"/>
      <c r="B249" s="80" t="s">
        <v>98</v>
      </c>
      <c r="C249" s="24">
        <v>31.0</v>
      </c>
      <c r="D249" s="22">
        <v>15.5333</v>
      </c>
      <c r="E249" s="23">
        <f t="shared" si="271"/>
        <v>0.6472208333</v>
      </c>
      <c r="F249" s="22">
        <f t="shared" si="272"/>
        <v>8.4667</v>
      </c>
      <c r="G249" s="23">
        <f t="shared" si="273"/>
        <v>0.3527791667</v>
      </c>
      <c r="H249" s="59">
        <v>0.1281742617</v>
      </c>
      <c r="I249" s="60">
        <f t="shared" si="274"/>
        <v>7727.880404</v>
      </c>
      <c r="J249" s="61">
        <f t="shared" si="275"/>
        <v>16.04851929</v>
      </c>
      <c r="K249" s="25">
        <v>5559.0</v>
      </c>
      <c r="L249" s="62">
        <f t="shared" si="276"/>
        <v>7.471774194</v>
      </c>
      <c r="M249" s="63">
        <f t="shared" si="277"/>
        <v>1</v>
      </c>
      <c r="N249" s="63">
        <f t="shared" si="278"/>
        <v>0.3527791667</v>
      </c>
      <c r="O249" s="25">
        <f t="shared" si="279"/>
        <v>-2168.880404</v>
      </c>
      <c r="P249" s="25">
        <f t="shared" si="280"/>
        <v>1961.099388</v>
      </c>
      <c r="Q249" s="64">
        <f>C249*'Rate Codes'!$D$7</f>
        <v>53.490035</v>
      </c>
      <c r="R249" s="25">
        <f>P249*'Rate Codes'!$D$8</f>
        <v>25.40212037</v>
      </c>
      <c r="S249" s="81">
        <f t="shared" si="281"/>
        <v>78.89215537</v>
      </c>
      <c r="T249" s="66">
        <f>P249*'Rate Codes'!$D$8</f>
        <v>25.40212037</v>
      </c>
      <c r="U249" s="67">
        <f>(O249)*'Billing Rate'!$B$1</f>
        <v>-147.4838675</v>
      </c>
      <c r="V249" s="25">
        <f t="shared" si="282"/>
        <v>104.2942757</v>
      </c>
      <c r="W249" s="81">
        <f t="shared" si="283"/>
        <v>-43.18959174</v>
      </c>
      <c r="X249" s="25">
        <f t="shared" si="284"/>
        <v>5.214713787</v>
      </c>
      <c r="Y249" s="81">
        <f t="shared" si="285"/>
        <v>-37.97487795</v>
      </c>
    </row>
    <row r="250">
      <c r="A250" s="12"/>
      <c r="B250" s="80" t="s">
        <v>121</v>
      </c>
      <c r="C250" s="24">
        <v>30.0</v>
      </c>
      <c r="D250" s="22">
        <v>16.4667</v>
      </c>
      <c r="E250" s="23">
        <f t="shared" si="271"/>
        <v>0.6861125</v>
      </c>
      <c r="F250" s="22">
        <f t="shared" si="272"/>
        <v>7.5333</v>
      </c>
      <c r="G250" s="23">
        <f t="shared" si="273"/>
        <v>0.3138875</v>
      </c>
      <c r="H250" s="59">
        <v>0.1254860808</v>
      </c>
      <c r="I250" s="60">
        <f t="shared" si="274"/>
        <v>7565.804647</v>
      </c>
      <c r="J250" s="61">
        <f t="shared" si="275"/>
        <v>15.31536302</v>
      </c>
      <c r="K250" s="25">
        <v>4964.0</v>
      </c>
      <c r="L250" s="62">
        <f t="shared" si="276"/>
        <v>6.894444444</v>
      </c>
      <c r="M250" s="63">
        <f t="shared" si="277"/>
        <v>1</v>
      </c>
      <c r="N250" s="63">
        <f t="shared" si="278"/>
        <v>0.3138875</v>
      </c>
      <c r="O250" s="25">
        <f t="shared" si="279"/>
        <v>-2601.804647</v>
      </c>
      <c r="P250" s="25">
        <f t="shared" si="280"/>
        <v>1558.13755</v>
      </c>
      <c r="Q250" s="64">
        <f>C250*'Rate Codes'!$D$7</f>
        <v>51.76455</v>
      </c>
      <c r="R250" s="25">
        <f>P250*'Rate Codes'!$D$8</f>
        <v>20.18255569</v>
      </c>
      <c r="S250" s="81">
        <f t="shared" si="281"/>
        <v>71.94710569</v>
      </c>
      <c r="T250" s="66">
        <f>P250*'Rate Codes'!$D$8</f>
        <v>20.18255569</v>
      </c>
      <c r="U250" s="67">
        <f>(O250)*'Billing Rate'!$B$1</f>
        <v>-176.922716</v>
      </c>
      <c r="V250" s="25">
        <f t="shared" si="282"/>
        <v>92.12966137</v>
      </c>
      <c r="W250" s="81">
        <f t="shared" si="283"/>
        <v>-84.79305462</v>
      </c>
      <c r="X250" s="25">
        <f t="shared" si="284"/>
        <v>4.606483069</v>
      </c>
      <c r="Y250" s="81">
        <f t="shared" si="285"/>
        <v>-80.18657155</v>
      </c>
    </row>
    <row r="251">
      <c r="A251" s="12"/>
      <c r="B251" s="80" t="s">
        <v>122</v>
      </c>
      <c r="C251" s="24">
        <v>31.0</v>
      </c>
      <c r="D251" s="22">
        <v>16.05</v>
      </c>
      <c r="E251" s="23">
        <f t="shared" si="271"/>
        <v>0.66875</v>
      </c>
      <c r="F251" s="22">
        <f t="shared" si="272"/>
        <v>7.95</v>
      </c>
      <c r="G251" s="23">
        <f t="shared" si="273"/>
        <v>0.33125</v>
      </c>
      <c r="H251" s="59">
        <v>0.1449493112</v>
      </c>
      <c r="I251" s="60">
        <f t="shared" si="274"/>
        <v>8739.281403</v>
      </c>
      <c r="J251" s="61">
        <f t="shared" si="275"/>
        <v>17.56462949</v>
      </c>
      <c r="K251" s="25">
        <v>6634.0</v>
      </c>
      <c r="L251" s="62">
        <f t="shared" si="276"/>
        <v>8.916666667</v>
      </c>
      <c r="M251" s="63">
        <f t="shared" si="277"/>
        <v>1</v>
      </c>
      <c r="N251" s="63">
        <f t="shared" si="278"/>
        <v>0.33125</v>
      </c>
      <c r="O251" s="25">
        <f t="shared" si="279"/>
        <v>-2105.281403</v>
      </c>
      <c r="P251" s="25">
        <f t="shared" si="280"/>
        <v>2197.5125</v>
      </c>
      <c r="Q251" s="64">
        <f>C251*'Rate Codes'!$D$7</f>
        <v>53.490035</v>
      </c>
      <c r="R251" s="25">
        <f>P251*'Rate Codes'!$D$8</f>
        <v>28.46437941</v>
      </c>
      <c r="S251" s="81">
        <f t="shared" si="281"/>
        <v>81.95441441</v>
      </c>
      <c r="T251" s="66">
        <f>P251*'Rate Codes'!$D$8</f>
        <v>28.46437941</v>
      </c>
      <c r="U251" s="67">
        <f>(O251)*'Billing Rate'!$B$1</f>
        <v>-143.1591354</v>
      </c>
      <c r="V251" s="25">
        <f t="shared" si="282"/>
        <v>110.4187938</v>
      </c>
      <c r="W251" s="81">
        <f t="shared" si="283"/>
        <v>-32.74034157</v>
      </c>
      <c r="X251" s="25">
        <f t="shared" si="284"/>
        <v>5.520939691</v>
      </c>
      <c r="Y251" s="81">
        <f t="shared" si="285"/>
        <v>-27.21940188</v>
      </c>
    </row>
    <row r="252">
      <c r="A252" s="12"/>
      <c r="B252" s="80" t="s">
        <v>123</v>
      </c>
      <c r="C252" s="24">
        <v>31.0</v>
      </c>
      <c r="D252" s="22">
        <v>14.5167</v>
      </c>
      <c r="E252" s="23">
        <f t="shared" si="271"/>
        <v>0.6048625</v>
      </c>
      <c r="F252" s="22">
        <f t="shared" si="272"/>
        <v>9.4833</v>
      </c>
      <c r="G252" s="23">
        <f t="shared" si="273"/>
        <v>0.3951375</v>
      </c>
      <c r="H252" s="59">
        <v>0.1246952409</v>
      </c>
      <c r="I252" s="60">
        <f t="shared" si="274"/>
        <v>7518.123341</v>
      </c>
      <c r="J252" s="61">
        <f t="shared" si="275"/>
        <v>16.70628364</v>
      </c>
      <c r="K252" s="25">
        <v>5909.0</v>
      </c>
      <c r="L252" s="62">
        <f t="shared" si="276"/>
        <v>7.942204301</v>
      </c>
      <c r="M252" s="63">
        <f t="shared" si="277"/>
        <v>1</v>
      </c>
      <c r="N252" s="63">
        <f t="shared" si="278"/>
        <v>0.3951375</v>
      </c>
      <c r="O252" s="25">
        <f t="shared" si="279"/>
        <v>-1609.123341</v>
      </c>
      <c r="P252" s="25">
        <f t="shared" si="280"/>
        <v>2334.867488</v>
      </c>
      <c r="Q252" s="64">
        <f>C252*'Rate Codes'!$D$7</f>
        <v>53.490035</v>
      </c>
      <c r="R252" s="25">
        <f>P252*'Rate Codes'!$D$8</f>
        <v>30.24353857</v>
      </c>
      <c r="S252" s="81">
        <f t="shared" si="281"/>
        <v>83.73357357</v>
      </c>
      <c r="T252" s="66">
        <f>P252*'Rate Codes'!$D$8</f>
        <v>30.24353857</v>
      </c>
      <c r="U252" s="67">
        <f>(O252)*'Billing Rate'!$B$1</f>
        <v>-109.4203872</v>
      </c>
      <c r="V252" s="25">
        <f t="shared" si="282"/>
        <v>113.9771121</v>
      </c>
      <c r="W252" s="81">
        <f t="shared" si="283"/>
        <v>4.556724931</v>
      </c>
      <c r="X252" s="25">
        <f t="shared" si="284"/>
        <v>5.698855607</v>
      </c>
      <c r="Y252" s="81">
        <f t="shared" si="285"/>
        <v>10.25558054</v>
      </c>
    </row>
    <row r="253">
      <c r="A253" s="12"/>
      <c r="B253" s="80" t="s">
        <v>124</v>
      </c>
      <c r="C253" s="24">
        <v>30.0</v>
      </c>
      <c r="D253" s="22">
        <v>12.5833</v>
      </c>
      <c r="E253" s="23">
        <f t="shared" si="271"/>
        <v>0.5243041667</v>
      </c>
      <c r="F253" s="22">
        <f t="shared" si="272"/>
        <v>11.4167</v>
      </c>
      <c r="G253" s="23">
        <f t="shared" si="273"/>
        <v>0.4756958333</v>
      </c>
      <c r="H253" s="59">
        <v>0.09825803101</v>
      </c>
      <c r="I253" s="60">
        <f t="shared" si="274"/>
        <v>5924.171533</v>
      </c>
      <c r="J253" s="61">
        <f t="shared" si="275"/>
        <v>15.69321119</v>
      </c>
      <c r="K253" s="25">
        <v>5270.0</v>
      </c>
      <c r="L253" s="62">
        <f t="shared" si="276"/>
        <v>7.319444444</v>
      </c>
      <c r="M253" s="63">
        <f t="shared" si="277"/>
        <v>1</v>
      </c>
      <c r="N253" s="63">
        <f t="shared" si="278"/>
        <v>0.4756958333</v>
      </c>
      <c r="O253" s="25">
        <f t="shared" si="279"/>
        <v>-654.1715326</v>
      </c>
      <c r="P253" s="25">
        <f t="shared" si="280"/>
        <v>2506.917042</v>
      </c>
      <c r="Q253" s="64">
        <f>C253*'Rate Codes'!$D$7</f>
        <v>51.76455</v>
      </c>
      <c r="R253" s="25">
        <f>P253*'Rate Codes'!$D$8</f>
        <v>32.47209644</v>
      </c>
      <c r="S253" s="81">
        <f t="shared" si="281"/>
        <v>84.23664644</v>
      </c>
      <c r="T253" s="66">
        <f>P253*'Rate Codes'!$D$8</f>
        <v>32.47209644</v>
      </c>
      <c r="U253" s="67">
        <f>(O253)*'Billing Rate'!$B$1</f>
        <v>-44.48366422</v>
      </c>
      <c r="V253" s="25">
        <f t="shared" si="282"/>
        <v>116.7087429</v>
      </c>
      <c r="W253" s="81">
        <f t="shared" si="283"/>
        <v>72.22507866</v>
      </c>
      <c r="X253" s="25">
        <f t="shared" si="284"/>
        <v>5.835437144</v>
      </c>
      <c r="Y253" s="81">
        <f t="shared" si="285"/>
        <v>78.06051581</v>
      </c>
    </row>
    <row r="254">
      <c r="A254" s="12"/>
      <c r="B254" s="80" t="s">
        <v>125</v>
      </c>
      <c r="C254" s="24">
        <v>31.0</v>
      </c>
      <c r="D254" s="22">
        <v>10.5833</v>
      </c>
      <c r="E254" s="23">
        <f t="shared" si="271"/>
        <v>0.4409708333</v>
      </c>
      <c r="F254" s="22">
        <f t="shared" si="272"/>
        <v>13.4167</v>
      </c>
      <c r="G254" s="23">
        <f t="shared" si="273"/>
        <v>0.5590291667</v>
      </c>
      <c r="H254" s="59">
        <v>0.06840443866</v>
      </c>
      <c r="I254" s="60">
        <f t="shared" si="274"/>
        <v>4124.239251</v>
      </c>
      <c r="J254" s="61">
        <f t="shared" si="275"/>
        <v>12.57074597</v>
      </c>
      <c r="K254" s="25">
        <v>5946.0</v>
      </c>
      <c r="L254" s="62">
        <f t="shared" si="276"/>
        <v>7.991935484</v>
      </c>
      <c r="M254" s="63">
        <f t="shared" si="277"/>
        <v>1</v>
      </c>
      <c r="N254" s="63">
        <f t="shared" si="278"/>
        <v>0.5590291667</v>
      </c>
      <c r="O254" s="25">
        <f t="shared" si="279"/>
        <v>1821.760749</v>
      </c>
      <c r="P254" s="25">
        <f t="shared" si="280"/>
        <v>3323.987425</v>
      </c>
      <c r="Q254" s="64">
        <f>C254*'Rate Codes'!$D$7</f>
        <v>53.490035</v>
      </c>
      <c r="R254" s="25">
        <f>P254*'Rate Codes'!$D$8</f>
        <v>43.05560912</v>
      </c>
      <c r="S254" s="81">
        <f t="shared" si="281"/>
        <v>96.54564412</v>
      </c>
      <c r="T254" s="66">
        <f>P254*'Rate Codes'!$D$8</f>
        <v>43.05560912</v>
      </c>
      <c r="U254" s="67">
        <f>(O254)*'Billing Rate'!$B$1</f>
        <v>123.8797309</v>
      </c>
      <c r="V254" s="25">
        <f t="shared" si="282"/>
        <v>139.6012532</v>
      </c>
      <c r="W254" s="81">
        <f t="shared" si="283"/>
        <v>263.4809842</v>
      </c>
      <c r="X254" s="25">
        <f t="shared" si="284"/>
        <v>13.17404921</v>
      </c>
      <c r="Y254" s="81">
        <f t="shared" si="285"/>
        <v>276.6550334</v>
      </c>
    </row>
    <row r="255">
      <c r="A255" s="12"/>
      <c r="B255" s="80" t="s">
        <v>126</v>
      </c>
      <c r="C255" s="24">
        <v>30.0</v>
      </c>
      <c r="D255" s="22">
        <v>8.85</v>
      </c>
      <c r="E255" s="23">
        <f t="shared" si="271"/>
        <v>0.36875</v>
      </c>
      <c r="F255" s="22">
        <f t="shared" si="272"/>
        <v>15.15</v>
      </c>
      <c r="G255" s="23">
        <f t="shared" si="273"/>
        <v>0.63125</v>
      </c>
      <c r="H255" s="59">
        <v>0.0271408052</v>
      </c>
      <c r="I255" s="60">
        <f t="shared" si="274"/>
        <v>1636.372965</v>
      </c>
      <c r="J255" s="61">
        <f t="shared" si="275"/>
        <v>6.163363333</v>
      </c>
      <c r="K255" s="25">
        <v>5587.0</v>
      </c>
      <c r="L255" s="62">
        <f t="shared" si="276"/>
        <v>7.759722222</v>
      </c>
      <c r="M255" s="63">
        <f t="shared" si="277"/>
        <v>0.7942762842</v>
      </c>
      <c r="N255" s="63">
        <f t="shared" si="278"/>
        <v>0.7071106202</v>
      </c>
      <c r="O255" s="25">
        <f t="shared" si="279"/>
        <v>3950.627035</v>
      </c>
      <c r="P255" s="25">
        <f t="shared" si="280"/>
        <v>3950.627035</v>
      </c>
      <c r="Q255" s="64">
        <f>C255*'Rate Codes'!$D$7</f>
        <v>51.76455</v>
      </c>
      <c r="R255" s="25">
        <f>P255*'Rate Codes'!$D$8</f>
        <v>51.17247198</v>
      </c>
      <c r="S255" s="81">
        <f t="shared" si="281"/>
        <v>102.937022</v>
      </c>
      <c r="T255" s="66">
        <f>P255*'Rate Codes'!$D$8</f>
        <v>51.17247198</v>
      </c>
      <c r="U255" s="67">
        <f>(O255)*'Billing Rate'!$B$1</f>
        <v>268.6426384</v>
      </c>
      <c r="V255" s="25">
        <f t="shared" si="282"/>
        <v>154.109494</v>
      </c>
      <c r="W255" s="81">
        <f t="shared" si="283"/>
        <v>422.7521323</v>
      </c>
      <c r="X255" s="25">
        <f t="shared" si="284"/>
        <v>21.13760662</v>
      </c>
      <c r="Y255" s="81">
        <f t="shared" si="285"/>
        <v>443.889739</v>
      </c>
    </row>
    <row r="256">
      <c r="A256" s="12"/>
      <c r="B256" s="80" t="s">
        <v>127</v>
      </c>
      <c r="C256" s="24">
        <v>31.0</v>
      </c>
      <c r="D256" s="22">
        <v>7.9667</v>
      </c>
      <c r="E256" s="23">
        <f t="shared" si="271"/>
        <v>0.3319458333</v>
      </c>
      <c r="F256" s="22">
        <f t="shared" si="272"/>
        <v>16.0333</v>
      </c>
      <c r="G256" s="23">
        <f t="shared" si="273"/>
        <v>0.6680541667</v>
      </c>
      <c r="H256" s="59">
        <v>0.01559005293</v>
      </c>
      <c r="I256" s="60">
        <f t="shared" si="274"/>
        <v>939.9552058</v>
      </c>
      <c r="J256" s="61">
        <f t="shared" si="275"/>
        <v>3.805984369</v>
      </c>
      <c r="K256" s="25">
        <v>5490.0</v>
      </c>
      <c r="L256" s="62">
        <f t="shared" si="276"/>
        <v>7.379032258</v>
      </c>
      <c r="M256" s="63">
        <f t="shared" si="277"/>
        <v>0.515783674</v>
      </c>
      <c r="N256" s="63">
        <f t="shared" si="278"/>
        <v>0.8287877585</v>
      </c>
      <c r="O256" s="25">
        <f t="shared" si="279"/>
        <v>4550.044794</v>
      </c>
      <c r="P256" s="25">
        <f t="shared" si="280"/>
        <v>4550.044794</v>
      </c>
      <c r="Q256" s="64">
        <f>C256*'Rate Codes'!$D$7</f>
        <v>53.490035</v>
      </c>
      <c r="R256" s="25">
        <f>P256*'Rate Codes'!$D$8</f>
        <v>58.93673022</v>
      </c>
      <c r="S256" s="81">
        <f t="shared" si="281"/>
        <v>112.4267652</v>
      </c>
      <c r="T256" s="66">
        <f>P256*'Rate Codes'!$D$8</f>
        <v>58.93673022</v>
      </c>
      <c r="U256" s="67">
        <f>(O256)*'Billing Rate'!$B$1</f>
        <v>309.403046</v>
      </c>
      <c r="V256" s="25">
        <f t="shared" si="282"/>
        <v>171.3634954</v>
      </c>
      <c r="W256" s="81">
        <f t="shared" si="283"/>
        <v>480.7665414</v>
      </c>
      <c r="X256" s="25">
        <f t="shared" si="284"/>
        <v>24.03832707</v>
      </c>
      <c r="Y256" s="81">
        <f t="shared" si="285"/>
        <v>504.8048685</v>
      </c>
    </row>
    <row r="257">
      <c r="A257" s="12"/>
      <c r="B257" s="77" t="s">
        <v>109</v>
      </c>
      <c r="C257" s="82"/>
      <c r="D257" s="83"/>
      <c r="E257" s="83"/>
      <c r="F257" s="83"/>
      <c r="G257" s="83"/>
      <c r="H257" s="83">
        <f t="shared" ref="H257:I257" si="286">SUM(H245:H256)</f>
        <v>1</v>
      </c>
      <c r="I257" s="84">
        <f t="shared" si="286"/>
        <v>60291.98297</v>
      </c>
      <c r="J257" s="84"/>
      <c r="K257" s="85">
        <f>SUM(K245:K256)</f>
        <v>66307</v>
      </c>
      <c r="L257" s="85"/>
      <c r="M257" s="85"/>
      <c r="N257" s="85"/>
      <c r="O257" s="85">
        <f t="shared" ref="O257:U257" si="287">SUM(O245:O256)</f>
        <v>6015.017026</v>
      </c>
      <c r="P257" s="48">
        <f t="shared" si="287"/>
        <v>34201.8711</v>
      </c>
      <c r="Q257" s="85">
        <f t="shared" si="287"/>
        <v>629.802025</v>
      </c>
      <c r="R257" s="85">
        <f t="shared" si="287"/>
        <v>443.0168363</v>
      </c>
      <c r="S257" s="85">
        <f t="shared" si="287"/>
        <v>1072.818861</v>
      </c>
      <c r="T257" s="85">
        <f t="shared" si="287"/>
        <v>443.0168363</v>
      </c>
      <c r="U257" s="85">
        <f t="shared" si="287"/>
        <v>409.0211578</v>
      </c>
      <c r="V257" s="48">
        <f t="shared" si="282"/>
        <v>1515.835698</v>
      </c>
      <c r="W257" s="85">
        <f t="shared" ref="W257:Y257" si="288">SUM(W245:W256)</f>
        <v>1924.856855</v>
      </c>
      <c r="X257" s="85">
        <f t="shared" si="288"/>
        <v>133.2339305</v>
      </c>
      <c r="Y257" s="85">
        <f t="shared" si="288"/>
        <v>2058.090786</v>
      </c>
    </row>
    <row r="259">
      <c r="A259" s="76">
        <v>16.0</v>
      </c>
      <c r="B259" s="12" t="s">
        <v>128</v>
      </c>
      <c r="C259" s="12"/>
      <c r="D259" s="15"/>
      <c r="E259" s="15"/>
      <c r="F259" s="15"/>
      <c r="G259" s="15"/>
      <c r="H259" s="15">
        <f>$H$1* POWER((1 -$O$1),A259)</f>
        <v>59990.52306</v>
      </c>
      <c r="I259" s="1" t="s">
        <v>132</v>
      </c>
      <c r="J259" s="1"/>
      <c r="K259" s="8">
        <f>H259/K273</f>
        <v>0.9047389123</v>
      </c>
      <c r="L259" s="8"/>
      <c r="M259" s="8"/>
      <c r="N259" s="8"/>
      <c r="O259" s="1" t="s">
        <v>133</v>
      </c>
      <c r="P259" s="6">
        <f>1-K259</f>
        <v>0.09526108769</v>
      </c>
      <c r="Q259" s="12" t="s">
        <v>74</v>
      </c>
      <c r="T259" s="12" t="s">
        <v>78</v>
      </c>
      <c r="U259" s="12"/>
      <c r="V259" s="12"/>
      <c r="W259" s="12"/>
      <c r="X259" s="12"/>
      <c r="Y259" s="12"/>
    </row>
    <row r="260">
      <c r="A260" s="12"/>
      <c r="B260" s="77" t="s">
        <v>83</v>
      </c>
      <c r="C260" s="20" t="s">
        <v>88</v>
      </c>
      <c r="D260" s="20" t="s">
        <v>84</v>
      </c>
      <c r="E260" s="20" t="s">
        <v>85</v>
      </c>
      <c r="F260" s="20" t="s">
        <v>86</v>
      </c>
      <c r="G260" s="20" t="s">
        <v>87</v>
      </c>
      <c r="H260" s="20" t="s">
        <v>134</v>
      </c>
      <c r="I260" s="44" t="s">
        <v>135</v>
      </c>
      <c r="J260" s="53" t="s">
        <v>92</v>
      </c>
      <c r="K260" s="20" t="s">
        <v>89</v>
      </c>
      <c r="L260" s="53" t="s">
        <v>90</v>
      </c>
      <c r="M260" s="53" t="s">
        <v>136</v>
      </c>
      <c r="N260" s="53" t="s">
        <v>137</v>
      </c>
      <c r="O260" s="20" t="s">
        <v>138</v>
      </c>
      <c r="P260" s="20" t="s">
        <v>139</v>
      </c>
      <c r="Q260" s="78" t="s">
        <v>76</v>
      </c>
      <c r="R260" s="78" t="s">
        <v>82</v>
      </c>
      <c r="S260" s="78" t="s">
        <v>109</v>
      </c>
      <c r="T260" s="78" t="s">
        <v>80</v>
      </c>
      <c r="U260" s="78" t="s">
        <v>67</v>
      </c>
      <c r="V260" s="45" t="s">
        <v>114</v>
      </c>
      <c r="W260" s="79" t="s">
        <v>115</v>
      </c>
      <c r="X260" s="79" t="s">
        <v>60</v>
      </c>
      <c r="Y260" s="79" t="s">
        <v>109</v>
      </c>
    </row>
    <row r="261">
      <c r="A261" s="12"/>
      <c r="B261" s="80" t="s">
        <v>117</v>
      </c>
      <c r="C261" s="24">
        <v>31.0</v>
      </c>
      <c r="D261" s="22">
        <v>8.45</v>
      </c>
      <c r="E261" s="23">
        <f t="shared" ref="E261:E272" si="289">D261/24</f>
        <v>0.3520833333</v>
      </c>
      <c r="F261" s="22">
        <f t="shared" ref="F261:F272" si="290">24-D261</f>
        <v>15.55</v>
      </c>
      <c r="G261" s="23">
        <f t="shared" ref="G261:G272" si="291">F261/24</f>
        <v>0.6479166667</v>
      </c>
      <c r="H261" s="59">
        <v>0.02731296772</v>
      </c>
      <c r="I261" s="60">
        <f t="shared" ref="I261:I272" si="292">H$259*H261</f>
        <v>1638.51922</v>
      </c>
      <c r="J261" s="61">
        <f t="shared" ref="J261:J272" si="293">I261/C261/D261</f>
        <v>6.25508387</v>
      </c>
      <c r="K261" s="25">
        <v>5726.0</v>
      </c>
      <c r="L261" s="62">
        <f t="shared" ref="L261:L272" si="294">K261/C261/24</f>
        <v>7.696236559</v>
      </c>
      <c r="M261" s="63">
        <f t="shared" ref="M261:M272" si="295">IF((J261/L261)&gt;1,1,J261/L261)</f>
        <v>0.812745791</v>
      </c>
      <c r="N261" s="63">
        <f t="shared" ref="N261:N272" si="296">1-E261*M261</f>
        <v>0.7138457527</v>
      </c>
      <c r="O261" s="25">
        <f t="shared" ref="O261:O272" si="297">K261-I261</f>
        <v>4087.48078</v>
      </c>
      <c r="P261" s="25">
        <f t="shared" ref="P261:P272" si="298">K261*N261</f>
        <v>4087.48078</v>
      </c>
      <c r="Q261" s="64">
        <f>C261*'Rate Codes'!$D$7</f>
        <v>53.490035</v>
      </c>
      <c r="R261" s="25">
        <f>P261*'Rate Codes'!$D$8</f>
        <v>52.94513855</v>
      </c>
      <c r="S261" s="81">
        <f t="shared" ref="S261:S272" si="299">SUM(Q261:R261)</f>
        <v>106.4351735</v>
      </c>
      <c r="T261" s="66">
        <f>P261*'Rate Codes'!$D$8</f>
        <v>52.94513855</v>
      </c>
      <c r="U261" s="67">
        <f>(O261)*'Billing Rate'!$B$1</f>
        <v>277.9486931</v>
      </c>
      <c r="V261" s="25">
        <f t="shared" ref="V261:V273" si="300">S261+T261</f>
        <v>159.3803121</v>
      </c>
      <c r="W261" s="81">
        <f t="shared" ref="W261:W272" si="301">U261+S261+T261</f>
        <v>437.3290051</v>
      </c>
      <c r="X261" s="25">
        <f t="shared" ref="X261:X272" si="302">(IF(U261&gt;0,U261,0)+V261)*0.05</f>
        <v>21.86645026</v>
      </c>
      <c r="Y261" s="81">
        <f t="shared" ref="Y261:Y272" si="303">W261+X261</f>
        <v>459.1954554</v>
      </c>
    </row>
    <row r="262">
      <c r="A262" s="12"/>
      <c r="B262" s="80" t="s">
        <v>118</v>
      </c>
      <c r="C262" s="24">
        <v>28.0</v>
      </c>
      <c r="D262" s="22">
        <v>9.9167</v>
      </c>
      <c r="E262" s="23">
        <f t="shared" si="289"/>
        <v>0.4131958333</v>
      </c>
      <c r="F262" s="22">
        <f t="shared" si="290"/>
        <v>14.0833</v>
      </c>
      <c r="G262" s="23">
        <f t="shared" si="291"/>
        <v>0.5868041667</v>
      </c>
      <c r="H262" s="59">
        <v>0.04620731865</v>
      </c>
      <c r="I262" s="60">
        <f t="shared" si="292"/>
        <v>2772.001215</v>
      </c>
      <c r="J262" s="61">
        <f t="shared" si="293"/>
        <v>9.983164096</v>
      </c>
      <c r="K262" s="25">
        <v>5279.0</v>
      </c>
      <c r="L262" s="62">
        <f t="shared" si="294"/>
        <v>7.855654762</v>
      </c>
      <c r="M262" s="63">
        <f t="shared" si="295"/>
        <v>1</v>
      </c>
      <c r="N262" s="63">
        <f t="shared" si="296"/>
        <v>0.5868041667</v>
      </c>
      <c r="O262" s="25">
        <f t="shared" si="297"/>
        <v>2506.998785</v>
      </c>
      <c r="P262" s="25">
        <f t="shared" si="298"/>
        <v>3097.739196</v>
      </c>
      <c r="Q262" s="64">
        <f>C262*'Rate Codes'!$D$7</f>
        <v>48.31358</v>
      </c>
      <c r="R262" s="25">
        <f>P262*'Rate Codes'!$D$8</f>
        <v>40.1250158</v>
      </c>
      <c r="S262" s="81">
        <f t="shared" si="299"/>
        <v>88.4385958</v>
      </c>
      <c r="T262" s="66">
        <f>P262*'Rate Codes'!$D$8</f>
        <v>40.1250158</v>
      </c>
      <c r="U262" s="67">
        <f>(O262)*'Billing Rate'!$B$1</f>
        <v>170.4759174</v>
      </c>
      <c r="V262" s="25">
        <f t="shared" si="300"/>
        <v>128.5636116</v>
      </c>
      <c r="W262" s="81">
        <f t="shared" si="301"/>
        <v>299.039529</v>
      </c>
      <c r="X262" s="25">
        <f t="shared" si="302"/>
        <v>14.95197645</v>
      </c>
      <c r="Y262" s="81">
        <f t="shared" si="303"/>
        <v>313.9915054</v>
      </c>
    </row>
    <row r="263">
      <c r="A263" s="12"/>
      <c r="B263" s="80" t="s">
        <v>119</v>
      </c>
      <c r="C263" s="24">
        <v>31.0</v>
      </c>
      <c r="D263" s="22">
        <v>11.8</v>
      </c>
      <c r="E263" s="23">
        <f t="shared" si="289"/>
        <v>0.4916666667</v>
      </c>
      <c r="F263" s="22">
        <f t="shared" si="290"/>
        <v>12.2</v>
      </c>
      <c r="G263" s="23">
        <f t="shared" si="291"/>
        <v>0.5083333333</v>
      </c>
      <c r="H263" s="59">
        <v>0.08500831624</v>
      </c>
      <c r="I263" s="60">
        <f t="shared" si="292"/>
        <v>5099.693356</v>
      </c>
      <c r="J263" s="61">
        <f t="shared" si="293"/>
        <v>13.94120655</v>
      </c>
      <c r="K263" s="25">
        <v>4991.0</v>
      </c>
      <c r="L263" s="62">
        <f t="shared" si="294"/>
        <v>6.708333333</v>
      </c>
      <c r="M263" s="63">
        <f t="shared" si="295"/>
        <v>1</v>
      </c>
      <c r="N263" s="63">
        <f t="shared" si="296"/>
        <v>0.5083333333</v>
      </c>
      <c r="O263" s="25">
        <f t="shared" si="297"/>
        <v>-108.6933555</v>
      </c>
      <c r="P263" s="25">
        <f t="shared" si="298"/>
        <v>2537.091667</v>
      </c>
      <c r="Q263" s="64">
        <f>C263*'Rate Codes'!$D$7</f>
        <v>53.490035</v>
      </c>
      <c r="R263" s="25">
        <f>P263*'Rate Codes'!$D$8</f>
        <v>32.86294836</v>
      </c>
      <c r="S263" s="81">
        <f t="shared" si="299"/>
        <v>86.35298336</v>
      </c>
      <c r="T263" s="66">
        <f>P263*'Rate Codes'!$D$8</f>
        <v>32.86294836</v>
      </c>
      <c r="U263" s="67">
        <f>(O263)*'Billing Rate'!$B$1</f>
        <v>-7.391148177</v>
      </c>
      <c r="V263" s="25">
        <f t="shared" si="300"/>
        <v>119.2159317</v>
      </c>
      <c r="W263" s="81">
        <f t="shared" si="301"/>
        <v>111.8247835</v>
      </c>
      <c r="X263" s="25">
        <f t="shared" si="302"/>
        <v>5.960796586</v>
      </c>
      <c r="Y263" s="81">
        <f t="shared" si="303"/>
        <v>117.7855801</v>
      </c>
    </row>
    <row r="264">
      <c r="A264" s="12"/>
      <c r="B264" s="80" t="s">
        <v>120</v>
      </c>
      <c r="C264" s="24">
        <v>30.0</v>
      </c>
      <c r="D264" s="22">
        <v>13.8</v>
      </c>
      <c r="E264" s="23">
        <f t="shared" si="289"/>
        <v>0.575</v>
      </c>
      <c r="F264" s="22">
        <f t="shared" si="290"/>
        <v>10.2</v>
      </c>
      <c r="G264" s="23">
        <f t="shared" si="291"/>
        <v>0.425</v>
      </c>
      <c r="H264" s="59">
        <v>0.108773175</v>
      </c>
      <c r="I264" s="60">
        <f t="shared" si="292"/>
        <v>6525.359663</v>
      </c>
      <c r="J264" s="61">
        <f t="shared" si="293"/>
        <v>15.76173832</v>
      </c>
      <c r="K264" s="25">
        <v>4952.0</v>
      </c>
      <c r="L264" s="62">
        <f t="shared" si="294"/>
        <v>6.877777778</v>
      </c>
      <c r="M264" s="63">
        <f t="shared" si="295"/>
        <v>1</v>
      </c>
      <c r="N264" s="63">
        <f t="shared" si="296"/>
        <v>0.425</v>
      </c>
      <c r="O264" s="25">
        <f t="shared" si="297"/>
        <v>-1573.359663</v>
      </c>
      <c r="P264" s="25">
        <f t="shared" si="298"/>
        <v>2104.6</v>
      </c>
      <c r="Q264" s="64">
        <f>C264*'Rate Codes'!$D$7</f>
        <v>51.76455</v>
      </c>
      <c r="R264" s="25">
        <f>P264*'Rate Codes'!$D$8</f>
        <v>27.2608838</v>
      </c>
      <c r="S264" s="81">
        <f t="shared" si="299"/>
        <v>79.0254338</v>
      </c>
      <c r="T264" s="66">
        <f>P264*'Rate Codes'!$D$8</f>
        <v>27.2608838</v>
      </c>
      <c r="U264" s="67">
        <f>(O264)*'Billing Rate'!$B$1</f>
        <v>-106.9884571</v>
      </c>
      <c r="V264" s="25">
        <f t="shared" si="300"/>
        <v>106.2863176</v>
      </c>
      <c r="W264" s="81">
        <f t="shared" si="301"/>
        <v>-0.7021394816</v>
      </c>
      <c r="X264" s="25">
        <f t="shared" si="302"/>
        <v>5.31431588</v>
      </c>
      <c r="Y264" s="81">
        <f t="shared" si="303"/>
        <v>4.612176398</v>
      </c>
    </row>
    <row r="265">
      <c r="A265" s="12"/>
      <c r="B265" s="80" t="s">
        <v>98</v>
      </c>
      <c r="C265" s="24">
        <v>31.0</v>
      </c>
      <c r="D265" s="22">
        <v>15.5333</v>
      </c>
      <c r="E265" s="23">
        <f t="shared" si="289"/>
        <v>0.6472208333</v>
      </c>
      <c r="F265" s="22">
        <f t="shared" si="290"/>
        <v>8.4667</v>
      </c>
      <c r="G265" s="23">
        <f t="shared" si="291"/>
        <v>0.3527791667</v>
      </c>
      <c r="H265" s="59">
        <v>0.1281742617</v>
      </c>
      <c r="I265" s="60">
        <f t="shared" si="292"/>
        <v>7689.241002</v>
      </c>
      <c r="J265" s="61">
        <f t="shared" si="293"/>
        <v>15.96827669</v>
      </c>
      <c r="K265" s="25">
        <v>5559.0</v>
      </c>
      <c r="L265" s="62">
        <f t="shared" si="294"/>
        <v>7.471774194</v>
      </c>
      <c r="M265" s="63">
        <f t="shared" si="295"/>
        <v>1</v>
      </c>
      <c r="N265" s="63">
        <f t="shared" si="296"/>
        <v>0.3527791667</v>
      </c>
      <c r="O265" s="25">
        <f t="shared" si="297"/>
        <v>-2130.241002</v>
      </c>
      <c r="P265" s="25">
        <f t="shared" si="298"/>
        <v>1961.099388</v>
      </c>
      <c r="Q265" s="64">
        <f>C265*'Rate Codes'!$D$7</f>
        <v>53.490035</v>
      </c>
      <c r="R265" s="25">
        <f>P265*'Rate Codes'!$D$8</f>
        <v>25.40212037</v>
      </c>
      <c r="S265" s="81">
        <f t="shared" si="299"/>
        <v>78.89215537</v>
      </c>
      <c r="T265" s="66">
        <f>P265*'Rate Codes'!$D$8</f>
        <v>25.40212037</v>
      </c>
      <c r="U265" s="67">
        <f>(O265)*'Billing Rate'!$B$1</f>
        <v>-144.8563881</v>
      </c>
      <c r="V265" s="25">
        <f t="shared" si="300"/>
        <v>104.2942757</v>
      </c>
      <c r="W265" s="81">
        <f t="shared" si="301"/>
        <v>-40.5621124</v>
      </c>
      <c r="X265" s="25">
        <f t="shared" si="302"/>
        <v>5.214713787</v>
      </c>
      <c r="Y265" s="81">
        <f t="shared" si="303"/>
        <v>-35.34739862</v>
      </c>
    </row>
    <row r="266">
      <c r="A266" s="12"/>
      <c r="B266" s="80" t="s">
        <v>121</v>
      </c>
      <c r="C266" s="24">
        <v>30.0</v>
      </c>
      <c r="D266" s="22">
        <v>16.4667</v>
      </c>
      <c r="E266" s="23">
        <f t="shared" si="289"/>
        <v>0.6861125</v>
      </c>
      <c r="F266" s="22">
        <f t="shared" si="290"/>
        <v>7.5333</v>
      </c>
      <c r="G266" s="23">
        <f t="shared" si="291"/>
        <v>0.3138875</v>
      </c>
      <c r="H266" s="59">
        <v>0.1254860808</v>
      </c>
      <c r="I266" s="60">
        <f t="shared" si="292"/>
        <v>7527.975624</v>
      </c>
      <c r="J266" s="61">
        <f t="shared" si="293"/>
        <v>15.2387862</v>
      </c>
      <c r="K266" s="25">
        <v>4964.0</v>
      </c>
      <c r="L266" s="62">
        <f t="shared" si="294"/>
        <v>6.894444444</v>
      </c>
      <c r="M266" s="63">
        <f t="shared" si="295"/>
        <v>1</v>
      </c>
      <c r="N266" s="63">
        <f t="shared" si="296"/>
        <v>0.3138875</v>
      </c>
      <c r="O266" s="25">
        <f t="shared" si="297"/>
        <v>-2563.975624</v>
      </c>
      <c r="P266" s="25">
        <f t="shared" si="298"/>
        <v>1558.13755</v>
      </c>
      <c r="Q266" s="64">
        <f>C266*'Rate Codes'!$D$7</f>
        <v>51.76455</v>
      </c>
      <c r="R266" s="25">
        <f>P266*'Rate Codes'!$D$8</f>
        <v>20.18255569</v>
      </c>
      <c r="S266" s="81">
        <f t="shared" si="299"/>
        <v>71.94710569</v>
      </c>
      <c r="T266" s="66">
        <f>P266*'Rate Codes'!$D$8</f>
        <v>20.18255569</v>
      </c>
      <c r="U266" s="67">
        <f>(O266)*'Billing Rate'!$B$1</f>
        <v>-174.3503424</v>
      </c>
      <c r="V266" s="25">
        <f t="shared" si="300"/>
        <v>92.12966137</v>
      </c>
      <c r="W266" s="81">
        <f t="shared" si="301"/>
        <v>-82.22068104</v>
      </c>
      <c r="X266" s="25">
        <f t="shared" si="302"/>
        <v>4.606483069</v>
      </c>
      <c r="Y266" s="81">
        <f t="shared" si="303"/>
        <v>-77.61419797</v>
      </c>
    </row>
    <row r="267">
      <c r="A267" s="12"/>
      <c r="B267" s="80" t="s">
        <v>122</v>
      </c>
      <c r="C267" s="24">
        <v>31.0</v>
      </c>
      <c r="D267" s="22">
        <v>16.05</v>
      </c>
      <c r="E267" s="23">
        <f t="shared" si="289"/>
        <v>0.66875</v>
      </c>
      <c r="F267" s="22">
        <f t="shared" si="290"/>
        <v>7.95</v>
      </c>
      <c r="G267" s="23">
        <f t="shared" si="291"/>
        <v>0.33125</v>
      </c>
      <c r="H267" s="59">
        <v>0.1449493112</v>
      </c>
      <c r="I267" s="60">
        <f t="shared" si="292"/>
        <v>8695.584996</v>
      </c>
      <c r="J267" s="61">
        <f t="shared" si="293"/>
        <v>17.47680634</v>
      </c>
      <c r="K267" s="25">
        <v>6634.0</v>
      </c>
      <c r="L267" s="62">
        <f t="shared" si="294"/>
        <v>8.916666667</v>
      </c>
      <c r="M267" s="63">
        <f t="shared" si="295"/>
        <v>1</v>
      </c>
      <c r="N267" s="63">
        <f t="shared" si="296"/>
        <v>0.33125</v>
      </c>
      <c r="O267" s="25">
        <f t="shared" si="297"/>
        <v>-2061.584996</v>
      </c>
      <c r="P267" s="25">
        <f t="shared" si="298"/>
        <v>2197.5125</v>
      </c>
      <c r="Q267" s="64">
        <f>C267*'Rate Codes'!$D$7</f>
        <v>53.490035</v>
      </c>
      <c r="R267" s="25">
        <f>P267*'Rate Codes'!$D$8</f>
        <v>28.46437941</v>
      </c>
      <c r="S267" s="81">
        <f t="shared" si="299"/>
        <v>81.95441441</v>
      </c>
      <c r="T267" s="66">
        <f>P267*'Rate Codes'!$D$8</f>
        <v>28.46437941</v>
      </c>
      <c r="U267" s="67">
        <f>(O267)*'Billing Rate'!$B$1</f>
        <v>-140.1877797</v>
      </c>
      <c r="V267" s="25">
        <f t="shared" si="300"/>
        <v>110.4187938</v>
      </c>
      <c r="W267" s="81">
        <f t="shared" si="301"/>
        <v>-29.76898589</v>
      </c>
      <c r="X267" s="25">
        <f t="shared" si="302"/>
        <v>5.520939691</v>
      </c>
      <c r="Y267" s="81">
        <f t="shared" si="303"/>
        <v>-24.2480462</v>
      </c>
    </row>
    <row r="268">
      <c r="A268" s="12"/>
      <c r="B268" s="80" t="s">
        <v>123</v>
      </c>
      <c r="C268" s="24">
        <v>31.0</v>
      </c>
      <c r="D268" s="22">
        <v>14.5167</v>
      </c>
      <c r="E268" s="23">
        <f t="shared" si="289"/>
        <v>0.6048625</v>
      </c>
      <c r="F268" s="22">
        <f t="shared" si="290"/>
        <v>9.4833</v>
      </c>
      <c r="G268" s="23">
        <f t="shared" si="291"/>
        <v>0.3951375</v>
      </c>
      <c r="H268" s="59">
        <v>0.1246952409</v>
      </c>
      <c r="I268" s="60">
        <f t="shared" si="292"/>
        <v>7480.532724</v>
      </c>
      <c r="J268" s="61">
        <f t="shared" si="293"/>
        <v>16.62275223</v>
      </c>
      <c r="K268" s="25">
        <v>5909.0</v>
      </c>
      <c r="L268" s="62">
        <f t="shared" si="294"/>
        <v>7.942204301</v>
      </c>
      <c r="M268" s="63">
        <f t="shared" si="295"/>
        <v>1</v>
      </c>
      <c r="N268" s="63">
        <f t="shared" si="296"/>
        <v>0.3951375</v>
      </c>
      <c r="O268" s="25">
        <f t="shared" si="297"/>
        <v>-1571.532724</v>
      </c>
      <c r="P268" s="25">
        <f t="shared" si="298"/>
        <v>2334.867488</v>
      </c>
      <c r="Q268" s="64">
        <f>C268*'Rate Codes'!$D$7</f>
        <v>53.490035</v>
      </c>
      <c r="R268" s="25">
        <f>P268*'Rate Codes'!$D$8</f>
        <v>30.24353857</v>
      </c>
      <c r="S268" s="81">
        <f t="shared" si="299"/>
        <v>83.73357357</v>
      </c>
      <c r="T268" s="66">
        <f>P268*'Rate Codes'!$D$8</f>
        <v>30.24353857</v>
      </c>
      <c r="U268" s="67">
        <f>(O268)*'Billing Rate'!$B$1</f>
        <v>-106.8642253</v>
      </c>
      <c r="V268" s="25">
        <f t="shared" si="300"/>
        <v>113.9771121</v>
      </c>
      <c r="W268" s="81">
        <f t="shared" si="301"/>
        <v>7.112886867</v>
      </c>
      <c r="X268" s="25">
        <f t="shared" si="302"/>
        <v>5.698855607</v>
      </c>
      <c r="Y268" s="81">
        <f t="shared" si="303"/>
        <v>12.81174247</v>
      </c>
    </row>
    <row r="269">
      <c r="A269" s="12"/>
      <c r="B269" s="80" t="s">
        <v>124</v>
      </c>
      <c r="C269" s="24">
        <v>30.0</v>
      </c>
      <c r="D269" s="22">
        <v>12.5833</v>
      </c>
      <c r="E269" s="23">
        <f t="shared" si="289"/>
        <v>0.5243041667</v>
      </c>
      <c r="F269" s="22">
        <f t="shared" si="290"/>
        <v>11.4167</v>
      </c>
      <c r="G269" s="23">
        <f t="shared" si="291"/>
        <v>0.4756958333</v>
      </c>
      <c r="H269" s="59">
        <v>0.09825803101</v>
      </c>
      <c r="I269" s="60">
        <f t="shared" si="292"/>
        <v>5894.550675</v>
      </c>
      <c r="J269" s="61">
        <f t="shared" si="293"/>
        <v>15.61474514</v>
      </c>
      <c r="K269" s="25">
        <v>5270.0</v>
      </c>
      <c r="L269" s="62">
        <f t="shared" si="294"/>
        <v>7.319444444</v>
      </c>
      <c r="M269" s="63">
        <f t="shared" si="295"/>
        <v>1</v>
      </c>
      <c r="N269" s="63">
        <f t="shared" si="296"/>
        <v>0.4756958333</v>
      </c>
      <c r="O269" s="25">
        <f t="shared" si="297"/>
        <v>-624.550675</v>
      </c>
      <c r="P269" s="25">
        <f t="shared" si="298"/>
        <v>2506.917042</v>
      </c>
      <c r="Q269" s="64">
        <f>C269*'Rate Codes'!$D$7</f>
        <v>51.76455</v>
      </c>
      <c r="R269" s="25">
        <f>P269*'Rate Codes'!$D$8</f>
        <v>32.47209644</v>
      </c>
      <c r="S269" s="81">
        <f t="shared" si="299"/>
        <v>84.23664644</v>
      </c>
      <c r="T269" s="66">
        <f>P269*'Rate Codes'!$D$8</f>
        <v>32.47209644</v>
      </c>
      <c r="U269" s="67">
        <f>(O269)*'Billing Rate'!$B$1</f>
        <v>-42.4694459</v>
      </c>
      <c r="V269" s="25">
        <f t="shared" si="300"/>
        <v>116.7087429</v>
      </c>
      <c r="W269" s="81">
        <f t="shared" si="301"/>
        <v>74.23929698</v>
      </c>
      <c r="X269" s="25">
        <f t="shared" si="302"/>
        <v>5.835437144</v>
      </c>
      <c r="Y269" s="81">
        <f t="shared" si="303"/>
        <v>80.07473413</v>
      </c>
    </row>
    <row r="270">
      <c r="A270" s="12"/>
      <c r="B270" s="80" t="s">
        <v>125</v>
      </c>
      <c r="C270" s="24">
        <v>31.0</v>
      </c>
      <c r="D270" s="22">
        <v>10.5833</v>
      </c>
      <c r="E270" s="23">
        <f t="shared" si="289"/>
        <v>0.4409708333</v>
      </c>
      <c r="F270" s="22">
        <f t="shared" si="290"/>
        <v>13.4167</v>
      </c>
      <c r="G270" s="23">
        <f t="shared" si="291"/>
        <v>0.5590291667</v>
      </c>
      <c r="H270" s="59">
        <v>0.06840443866</v>
      </c>
      <c r="I270" s="60">
        <f t="shared" si="292"/>
        <v>4103.618055</v>
      </c>
      <c r="J270" s="61">
        <f t="shared" si="293"/>
        <v>12.50789224</v>
      </c>
      <c r="K270" s="25">
        <v>5946.0</v>
      </c>
      <c r="L270" s="62">
        <f t="shared" si="294"/>
        <v>7.991935484</v>
      </c>
      <c r="M270" s="63">
        <f t="shared" si="295"/>
        <v>1</v>
      </c>
      <c r="N270" s="63">
        <f t="shared" si="296"/>
        <v>0.5590291667</v>
      </c>
      <c r="O270" s="25">
        <f t="shared" si="297"/>
        <v>1842.381945</v>
      </c>
      <c r="P270" s="25">
        <f t="shared" si="298"/>
        <v>3323.987425</v>
      </c>
      <c r="Q270" s="64">
        <f>C270*'Rate Codes'!$D$7</f>
        <v>53.490035</v>
      </c>
      <c r="R270" s="25">
        <f>P270*'Rate Codes'!$D$8</f>
        <v>43.05560912</v>
      </c>
      <c r="S270" s="81">
        <f t="shared" si="299"/>
        <v>96.54564412</v>
      </c>
      <c r="T270" s="66">
        <f>P270*'Rate Codes'!$D$8</f>
        <v>43.05560912</v>
      </c>
      <c r="U270" s="67">
        <f>(O270)*'Billing Rate'!$B$1</f>
        <v>125.2819723</v>
      </c>
      <c r="V270" s="25">
        <f t="shared" si="300"/>
        <v>139.6012532</v>
      </c>
      <c r="W270" s="81">
        <f t="shared" si="301"/>
        <v>264.8832255</v>
      </c>
      <c r="X270" s="25">
        <f t="shared" si="302"/>
        <v>13.24416128</v>
      </c>
      <c r="Y270" s="81">
        <f t="shared" si="303"/>
        <v>278.1273868</v>
      </c>
    </row>
    <row r="271">
      <c r="A271" s="12"/>
      <c r="B271" s="80" t="s">
        <v>126</v>
      </c>
      <c r="C271" s="24">
        <v>30.0</v>
      </c>
      <c r="D271" s="22">
        <v>8.85</v>
      </c>
      <c r="E271" s="23">
        <f t="shared" si="289"/>
        <v>0.36875</v>
      </c>
      <c r="F271" s="22">
        <f t="shared" si="290"/>
        <v>15.15</v>
      </c>
      <c r="G271" s="23">
        <f t="shared" si="291"/>
        <v>0.63125</v>
      </c>
      <c r="H271" s="59">
        <v>0.0271408052</v>
      </c>
      <c r="I271" s="60">
        <f t="shared" si="292"/>
        <v>1628.1911</v>
      </c>
      <c r="J271" s="61">
        <f t="shared" si="293"/>
        <v>6.132546517</v>
      </c>
      <c r="K271" s="25">
        <v>5587.0</v>
      </c>
      <c r="L271" s="62">
        <f t="shared" si="294"/>
        <v>7.759722222</v>
      </c>
      <c r="M271" s="63">
        <f t="shared" si="295"/>
        <v>0.7903049028</v>
      </c>
      <c r="N271" s="63">
        <f t="shared" si="296"/>
        <v>0.7085750671</v>
      </c>
      <c r="O271" s="25">
        <f t="shared" si="297"/>
        <v>3958.8089</v>
      </c>
      <c r="P271" s="25">
        <f t="shared" si="298"/>
        <v>3958.8089</v>
      </c>
      <c r="Q271" s="64">
        <f>C271*'Rate Codes'!$D$7</f>
        <v>51.76455</v>
      </c>
      <c r="R271" s="25">
        <f>P271*'Rate Codes'!$D$8</f>
        <v>51.27845168</v>
      </c>
      <c r="S271" s="81">
        <f t="shared" si="299"/>
        <v>103.0430017</v>
      </c>
      <c r="T271" s="66">
        <f>P271*'Rate Codes'!$D$8</f>
        <v>51.27845168</v>
      </c>
      <c r="U271" s="67">
        <f>(O271)*'Billing Rate'!$B$1</f>
        <v>269.1990052</v>
      </c>
      <c r="V271" s="25">
        <f t="shared" si="300"/>
        <v>154.3214534</v>
      </c>
      <c r="W271" s="81">
        <f t="shared" si="301"/>
        <v>423.5204585</v>
      </c>
      <c r="X271" s="25">
        <f t="shared" si="302"/>
        <v>21.17602293</v>
      </c>
      <c r="Y271" s="81">
        <f t="shared" si="303"/>
        <v>444.6964815</v>
      </c>
    </row>
    <row r="272">
      <c r="A272" s="12"/>
      <c r="B272" s="80" t="s">
        <v>127</v>
      </c>
      <c r="C272" s="24">
        <v>31.0</v>
      </c>
      <c r="D272" s="22">
        <v>7.9667</v>
      </c>
      <c r="E272" s="23">
        <f t="shared" si="289"/>
        <v>0.3319458333</v>
      </c>
      <c r="F272" s="22">
        <f t="shared" si="290"/>
        <v>16.0333</v>
      </c>
      <c r="G272" s="23">
        <f t="shared" si="291"/>
        <v>0.6680541667</v>
      </c>
      <c r="H272" s="59">
        <v>0.01559005293</v>
      </c>
      <c r="I272" s="60">
        <f t="shared" si="292"/>
        <v>935.2554298</v>
      </c>
      <c r="J272" s="61">
        <f t="shared" si="293"/>
        <v>3.786954447</v>
      </c>
      <c r="K272" s="25">
        <v>5490.0</v>
      </c>
      <c r="L272" s="62">
        <f t="shared" si="294"/>
        <v>7.379032258</v>
      </c>
      <c r="M272" s="63">
        <f t="shared" si="295"/>
        <v>0.5132047557</v>
      </c>
      <c r="N272" s="63">
        <f t="shared" si="296"/>
        <v>0.8296438197</v>
      </c>
      <c r="O272" s="25">
        <f t="shared" si="297"/>
        <v>4554.74457</v>
      </c>
      <c r="P272" s="25">
        <f t="shared" si="298"/>
        <v>4554.74457</v>
      </c>
      <c r="Q272" s="64">
        <f>C272*'Rate Codes'!$D$7</f>
        <v>53.490035</v>
      </c>
      <c r="R272" s="25">
        <f>P272*'Rate Codes'!$D$8</f>
        <v>58.99760642</v>
      </c>
      <c r="S272" s="81">
        <f t="shared" si="299"/>
        <v>112.4876414</v>
      </c>
      <c r="T272" s="66">
        <f>P272*'Rate Codes'!$D$8</f>
        <v>58.99760642</v>
      </c>
      <c r="U272" s="67">
        <f>(O272)*'Billing Rate'!$B$1</f>
        <v>309.7226308</v>
      </c>
      <c r="V272" s="25">
        <f t="shared" si="300"/>
        <v>171.4852478</v>
      </c>
      <c r="W272" s="81">
        <f t="shared" si="301"/>
        <v>481.2078786</v>
      </c>
      <c r="X272" s="25">
        <f t="shared" si="302"/>
        <v>24.06039393</v>
      </c>
      <c r="Y272" s="81">
        <f t="shared" si="303"/>
        <v>505.2682725</v>
      </c>
    </row>
    <row r="273">
      <c r="A273" s="12"/>
      <c r="B273" s="77" t="s">
        <v>109</v>
      </c>
      <c r="C273" s="82"/>
      <c r="D273" s="83"/>
      <c r="E273" s="83"/>
      <c r="F273" s="83"/>
      <c r="G273" s="83"/>
      <c r="H273" s="83">
        <f t="shared" ref="H273:I273" si="304">SUM(H261:H272)</f>
        <v>1</v>
      </c>
      <c r="I273" s="84">
        <f t="shared" si="304"/>
        <v>59990.52306</v>
      </c>
      <c r="J273" s="84"/>
      <c r="K273" s="85">
        <f>SUM(K261:K272)</f>
        <v>66307</v>
      </c>
      <c r="L273" s="85"/>
      <c r="M273" s="85"/>
      <c r="N273" s="85"/>
      <c r="O273" s="85">
        <f t="shared" ref="O273:U273" si="305">SUM(O261:O272)</f>
        <v>6316.476941</v>
      </c>
      <c r="P273" s="48">
        <f t="shared" si="305"/>
        <v>34222.9865</v>
      </c>
      <c r="Q273" s="85">
        <f t="shared" si="305"/>
        <v>629.802025</v>
      </c>
      <c r="R273" s="85">
        <f t="shared" si="305"/>
        <v>443.2903442</v>
      </c>
      <c r="S273" s="85">
        <f t="shared" si="305"/>
        <v>1073.092369</v>
      </c>
      <c r="T273" s="85">
        <f t="shared" si="305"/>
        <v>443.2903442</v>
      </c>
      <c r="U273" s="85">
        <f t="shared" si="305"/>
        <v>429.520432</v>
      </c>
      <c r="V273" s="48">
        <f t="shared" si="300"/>
        <v>1516.382713</v>
      </c>
      <c r="W273" s="85">
        <f t="shared" ref="W273:Y273" si="306">SUM(W261:W272)</f>
        <v>1945.903145</v>
      </c>
      <c r="X273" s="85">
        <f t="shared" si="306"/>
        <v>133.4505466</v>
      </c>
      <c r="Y273" s="85">
        <f t="shared" si="306"/>
        <v>2079.353692</v>
      </c>
    </row>
    <row r="275">
      <c r="A275" s="76">
        <v>17.0</v>
      </c>
      <c r="B275" s="12" t="s">
        <v>128</v>
      </c>
      <c r="C275" s="12"/>
      <c r="D275" s="15"/>
      <c r="E275" s="15"/>
      <c r="F275" s="15"/>
      <c r="G275" s="15"/>
      <c r="H275" s="15">
        <f>$H$1* POWER((1 -$O$1),A275)</f>
        <v>59690.57044</v>
      </c>
      <c r="I275" s="1" t="s">
        <v>132</v>
      </c>
      <c r="J275" s="1"/>
      <c r="K275" s="8">
        <f>H275/K289</f>
        <v>0.9002152177</v>
      </c>
      <c r="L275" s="8"/>
      <c r="M275" s="8"/>
      <c r="N275" s="8"/>
      <c r="O275" s="1" t="s">
        <v>133</v>
      </c>
      <c r="P275" s="6">
        <f>1-K275</f>
        <v>0.09978478225</v>
      </c>
      <c r="Q275" s="12" t="s">
        <v>74</v>
      </c>
      <c r="T275" s="12" t="s">
        <v>78</v>
      </c>
      <c r="U275" s="12"/>
      <c r="V275" s="12"/>
      <c r="W275" s="12"/>
      <c r="X275" s="12"/>
      <c r="Y275" s="12"/>
    </row>
    <row r="276">
      <c r="A276" s="12"/>
      <c r="B276" s="77" t="s">
        <v>83</v>
      </c>
      <c r="C276" s="20" t="s">
        <v>88</v>
      </c>
      <c r="D276" s="20" t="s">
        <v>84</v>
      </c>
      <c r="E276" s="20" t="s">
        <v>85</v>
      </c>
      <c r="F276" s="20" t="s">
        <v>86</v>
      </c>
      <c r="G276" s="20" t="s">
        <v>87</v>
      </c>
      <c r="H276" s="20" t="s">
        <v>134</v>
      </c>
      <c r="I276" s="44" t="s">
        <v>135</v>
      </c>
      <c r="J276" s="53" t="s">
        <v>92</v>
      </c>
      <c r="K276" s="20" t="s">
        <v>89</v>
      </c>
      <c r="L276" s="53" t="s">
        <v>90</v>
      </c>
      <c r="M276" s="53" t="s">
        <v>136</v>
      </c>
      <c r="N276" s="53" t="s">
        <v>137</v>
      </c>
      <c r="O276" s="20" t="s">
        <v>138</v>
      </c>
      <c r="P276" s="20" t="s">
        <v>139</v>
      </c>
      <c r="Q276" s="78" t="s">
        <v>76</v>
      </c>
      <c r="R276" s="78" t="s">
        <v>82</v>
      </c>
      <c r="S276" s="78" t="s">
        <v>109</v>
      </c>
      <c r="T276" s="78" t="s">
        <v>80</v>
      </c>
      <c r="U276" s="78" t="s">
        <v>67</v>
      </c>
      <c r="V276" s="45" t="s">
        <v>114</v>
      </c>
      <c r="W276" s="79" t="s">
        <v>115</v>
      </c>
      <c r="X276" s="79" t="s">
        <v>60</v>
      </c>
      <c r="Y276" s="79" t="s">
        <v>109</v>
      </c>
    </row>
    <row r="277">
      <c r="A277" s="12"/>
      <c r="B277" s="80" t="s">
        <v>117</v>
      </c>
      <c r="C277" s="24">
        <v>31.0</v>
      </c>
      <c r="D277" s="22">
        <v>8.45</v>
      </c>
      <c r="E277" s="23">
        <f t="shared" ref="E277:E288" si="307">D277/24</f>
        <v>0.3520833333</v>
      </c>
      <c r="F277" s="22">
        <f t="shared" ref="F277:F288" si="308">24-D277</f>
        <v>15.55</v>
      </c>
      <c r="G277" s="23">
        <f t="shared" ref="G277:G288" si="309">F277/24</f>
        <v>0.6479166667</v>
      </c>
      <c r="H277" s="59">
        <v>0.02731296772</v>
      </c>
      <c r="I277" s="60">
        <f t="shared" ref="I277:I288" si="310">H$275*H277</f>
        <v>1630.326624</v>
      </c>
      <c r="J277" s="61">
        <f t="shared" ref="J277:J288" si="311">I277/C277/D277</f>
        <v>6.223808451</v>
      </c>
      <c r="K277" s="25">
        <v>5726.0</v>
      </c>
      <c r="L277" s="62">
        <f t="shared" ref="L277:L288" si="312">K277/C277/24</f>
        <v>7.696236559</v>
      </c>
      <c r="M277" s="63">
        <f t="shared" ref="M277:M288" si="313">IF((J277/L277)&gt;1,1,J277/L277)</f>
        <v>0.8086820621</v>
      </c>
      <c r="N277" s="63">
        <f t="shared" ref="N277:N288" si="314">1-E277*M277</f>
        <v>0.715276524</v>
      </c>
      <c r="O277" s="25">
        <f t="shared" ref="O277:O288" si="315">K277-I277</f>
        <v>4095.673376</v>
      </c>
      <c r="P277" s="25">
        <f t="shared" ref="P277:P288" si="316">K277*N277</f>
        <v>4095.673376</v>
      </c>
      <c r="Q277" s="64">
        <f>C277*'Rate Codes'!$D$7</f>
        <v>53.490035</v>
      </c>
      <c r="R277" s="25">
        <f>P277*'Rate Codes'!$D$8</f>
        <v>53.05125724</v>
      </c>
      <c r="S277" s="81">
        <f t="shared" ref="S277:S288" si="317">SUM(Q277:R277)</f>
        <v>106.5412922</v>
      </c>
      <c r="T277" s="66">
        <f>P277*'Rate Codes'!$D$8</f>
        <v>53.05125724</v>
      </c>
      <c r="U277" s="67">
        <f>(O277)*'Billing Rate'!$B$1</f>
        <v>278.5057896</v>
      </c>
      <c r="V277" s="25">
        <f t="shared" ref="V277:V289" si="318">S277+T277</f>
        <v>159.5925495</v>
      </c>
      <c r="W277" s="81">
        <f t="shared" ref="W277:W288" si="319">U277+S277+T277</f>
        <v>438.0983391</v>
      </c>
      <c r="X277" s="25">
        <f t="shared" ref="X277:X288" si="320">(IF(U277&gt;0,U277,0)+V277)*0.05</f>
        <v>21.90491695</v>
      </c>
      <c r="Y277" s="81">
        <f t="shared" ref="Y277:Y288" si="321">W277+X277</f>
        <v>460.003256</v>
      </c>
    </row>
    <row r="278">
      <c r="A278" s="12"/>
      <c r="B278" s="80" t="s">
        <v>118</v>
      </c>
      <c r="C278" s="24">
        <v>28.0</v>
      </c>
      <c r="D278" s="22">
        <v>9.9167</v>
      </c>
      <c r="E278" s="23">
        <f t="shared" si="307"/>
        <v>0.4131958333</v>
      </c>
      <c r="F278" s="22">
        <f t="shared" si="308"/>
        <v>14.0833</v>
      </c>
      <c r="G278" s="23">
        <f t="shared" si="309"/>
        <v>0.5868041667</v>
      </c>
      <c r="H278" s="59">
        <v>0.04620731865</v>
      </c>
      <c r="I278" s="60">
        <f t="shared" si="310"/>
        <v>2758.141209</v>
      </c>
      <c r="J278" s="61">
        <f t="shared" si="311"/>
        <v>9.933248275</v>
      </c>
      <c r="K278" s="25">
        <v>5279.0</v>
      </c>
      <c r="L278" s="62">
        <f t="shared" si="312"/>
        <v>7.855654762</v>
      </c>
      <c r="M278" s="63">
        <f t="shared" si="313"/>
        <v>1</v>
      </c>
      <c r="N278" s="63">
        <f t="shared" si="314"/>
        <v>0.5868041667</v>
      </c>
      <c r="O278" s="25">
        <f t="shared" si="315"/>
        <v>2520.858791</v>
      </c>
      <c r="P278" s="25">
        <f t="shared" si="316"/>
        <v>3097.739196</v>
      </c>
      <c r="Q278" s="64">
        <f>C278*'Rate Codes'!$D$7</f>
        <v>48.31358</v>
      </c>
      <c r="R278" s="25">
        <f>P278*'Rate Codes'!$D$8</f>
        <v>40.1250158</v>
      </c>
      <c r="S278" s="81">
        <f t="shared" si="317"/>
        <v>88.4385958</v>
      </c>
      <c r="T278" s="66">
        <f>P278*'Rate Codes'!$D$8</f>
        <v>40.1250158</v>
      </c>
      <c r="U278" s="67">
        <f>(O278)*'Billing Rate'!$B$1</f>
        <v>171.4183978</v>
      </c>
      <c r="V278" s="25">
        <f t="shared" si="318"/>
        <v>128.5636116</v>
      </c>
      <c r="W278" s="81">
        <f t="shared" si="319"/>
        <v>299.9820094</v>
      </c>
      <c r="X278" s="25">
        <f t="shared" si="320"/>
        <v>14.99910047</v>
      </c>
      <c r="Y278" s="81">
        <f t="shared" si="321"/>
        <v>314.9811099</v>
      </c>
    </row>
    <row r="279">
      <c r="A279" s="12"/>
      <c r="B279" s="80" t="s">
        <v>119</v>
      </c>
      <c r="C279" s="24">
        <v>31.0</v>
      </c>
      <c r="D279" s="22">
        <v>11.8</v>
      </c>
      <c r="E279" s="23">
        <f t="shared" si="307"/>
        <v>0.4916666667</v>
      </c>
      <c r="F279" s="22">
        <f t="shared" si="308"/>
        <v>12.2</v>
      </c>
      <c r="G279" s="23">
        <f t="shared" si="309"/>
        <v>0.5083333333</v>
      </c>
      <c r="H279" s="59">
        <v>0.08500831624</v>
      </c>
      <c r="I279" s="60">
        <f t="shared" si="310"/>
        <v>5074.194889</v>
      </c>
      <c r="J279" s="61">
        <f t="shared" si="311"/>
        <v>13.87150052</v>
      </c>
      <c r="K279" s="25">
        <v>4991.0</v>
      </c>
      <c r="L279" s="62">
        <f t="shared" si="312"/>
        <v>6.708333333</v>
      </c>
      <c r="M279" s="63">
        <f t="shared" si="313"/>
        <v>1</v>
      </c>
      <c r="N279" s="63">
        <f t="shared" si="314"/>
        <v>0.5083333333</v>
      </c>
      <c r="O279" s="25">
        <f t="shared" si="315"/>
        <v>-83.19488877</v>
      </c>
      <c r="P279" s="25">
        <f t="shared" si="316"/>
        <v>2537.091667</v>
      </c>
      <c r="Q279" s="64">
        <f>C279*'Rate Codes'!$D$7</f>
        <v>53.490035</v>
      </c>
      <c r="R279" s="25">
        <f>P279*'Rate Codes'!$D$8</f>
        <v>32.86294836</v>
      </c>
      <c r="S279" s="81">
        <f t="shared" si="317"/>
        <v>86.35298336</v>
      </c>
      <c r="T279" s="66">
        <f>P279*'Rate Codes'!$D$8</f>
        <v>32.86294836</v>
      </c>
      <c r="U279" s="67">
        <f>(O279)*'Billing Rate'!$B$1</f>
        <v>-5.657252436</v>
      </c>
      <c r="V279" s="25">
        <f t="shared" si="318"/>
        <v>119.2159317</v>
      </c>
      <c r="W279" s="81">
        <f t="shared" si="319"/>
        <v>113.5586793</v>
      </c>
      <c r="X279" s="25">
        <f t="shared" si="320"/>
        <v>5.960796586</v>
      </c>
      <c r="Y279" s="81">
        <f t="shared" si="321"/>
        <v>119.5194759</v>
      </c>
    </row>
    <row r="280">
      <c r="A280" s="12"/>
      <c r="B280" s="80" t="s">
        <v>120</v>
      </c>
      <c r="C280" s="24">
        <v>30.0</v>
      </c>
      <c r="D280" s="22">
        <v>13.8</v>
      </c>
      <c r="E280" s="23">
        <f t="shared" si="307"/>
        <v>0.575</v>
      </c>
      <c r="F280" s="22">
        <f t="shared" si="308"/>
        <v>10.2</v>
      </c>
      <c r="G280" s="23">
        <f t="shared" si="309"/>
        <v>0.425</v>
      </c>
      <c r="H280" s="59">
        <v>0.108773175</v>
      </c>
      <c r="I280" s="60">
        <f t="shared" si="310"/>
        <v>6492.732865</v>
      </c>
      <c r="J280" s="61">
        <f t="shared" si="311"/>
        <v>15.68292962</v>
      </c>
      <c r="K280" s="25">
        <v>4952.0</v>
      </c>
      <c r="L280" s="62">
        <f t="shared" si="312"/>
        <v>6.877777778</v>
      </c>
      <c r="M280" s="63">
        <f t="shared" si="313"/>
        <v>1</v>
      </c>
      <c r="N280" s="63">
        <f t="shared" si="314"/>
        <v>0.425</v>
      </c>
      <c r="O280" s="25">
        <f t="shared" si="315"/>
        <v>-1540.732865</v>
      </c>
      <c r="P280" s="25">
        <f t="shared" si="316"/>
        <v>2104.6</v>
      </c>
      <c r="Q280" s="64">
        <f>C280*'Rate Codes'!$D$7</f>
        <v>51.76455</v>
      </c>
      <c r="R280" s="25">
        <f>P280*'Rate Codes'!$D$8</f>
        <v>27.2608838</v>
      </c>
      <c r="S280" s="81">
        <f t="shared" si="317"/>
        <v>79.0254338</v>
      </c>
      <c r="T280" s="66">
        <f>P280*'Rate Codes'!$D$8</f>
        <v>27.2608838</v>
      </c>
      <c r="U280" s="67">
        <f>(O280)*'Billing Rate'!$B$1</f>
        <v>-104.7698348</v>
      </c>
      <c r="V280" s="25">
        <f t="shared" si="318"/>
        <v>106.2863176</v>
      </c>
      <c r="W280" s="81">
        <f t="shared" si="319"/>
        <v>1.516482804</v>
      </c>
      <c r="X280" s="25">
        <f t="shared" si="320"/>
        <v>5.31431588</v>
      </c>
      <c r="Y280" s="81">
        <f t="shared" si="321"/>
        <v>6.830798684</v>
      </c>
    </row>
    <row r="281">
      <c r="A281" s="12"/>
      <c r="B281" s="80" t="s">
        <v>98</v>
      </c>
      <c r="C281" s="24">
        <v>31.0</v>
      </c>
      <c r="D281" s="22">
        <v>15.5333</v>
      </c>
      <c r="E281" s="23">
        <f t="shared" si="307"/>
        <v>0.6472208333</v>
      </c>
      <c r="F281" s="22">
        <f t="shared" si="308"/>
        <v>8.4667</v>
      </c>
      <c r="G281" s="23">
        <f t="shared" si="309"/>
        <v>0.3527791667</v>
      </c>
      <c r="H281" s="59">
        <v>0.1281742617</v>
      </c>
      <c r="I281" s="60">
        <f t="shared" si="310"/>
        <v>7650.794797</v>
      </c>
      <c r="J281" s="61">
        <f t="shared" si="311"/>
        <v>15.88843531</v>
      </c>
      <c r="K281" s="25">
        <v>5559.0</v>
      </c>
      <c r="L281" s="62">
        <f t="shared" si="312"/>
        <v>7.471774194</v>
      </c>
      <c r="M281" s="63">
        <f t="shared" si="313"/>
        <v>1</v>
      </c>
      <c r="N281" s="63">
        <f t="shared" si="314"/>
        <v>0.3527791667</v>
      </c>
      <c r="O281" s="25">
        <f t="shared" si="315"/>
        <v>-2091.794797</v>
      </c>
      <c r="P281" s="25">
        <f t="shared" si="316"/>
        <v>1961.099388</v>
      </c>
      <c r="Q281" s="64">
        <f>C281*'Rate Codes'!$D$7</f>
        <v>53.490035</v>
      </c>
      <c r="R281" s="25">
        <f>P281*'Rate Codes'!$D$8</f>
        <v>25.40212037</v>
      </c>
      <c r="S281" s="81">
        <f t="shared" si="317"/>
        <v>78.89215537</v>
      </c>
      <c r="T281" s="66">
        <f>P281*'Rate Codes'!$D$8</f>
        <v>25.40212037</v>
      </c>
      <c r="U281" s="67">
        <f>(O281)*'Billing Rate'!$B$1</f>
        <v>-142.2420462</v>
      </c>
      <c r="V281" s="25">
        <f t="shared" si="318"/>
        <v>104.2942757</v>
      </c>
      <c r="W281" s="81">
        <f t="shared" si="319"/>
        <v>-37.94777046</v>
      </c>
      <c r="X281" s="25">
        <f t="shared" si="320"/>
        <v>5.214713787</v>
      </c>
      <c r="Y281" s="81">
        <f t="shared" si="321"/>
        <v>-32.73305668</v>
      </c>
    </row>
    <row r="282">
      <c r="A282" s="12"/>
      <c r="B282" s="80" t="s">
        <v>121</v>
      </c>
      <c r="C282" s="24">
        <v>30.0</v>
      </c>
      <c r="D282" s="22">
        <v>16.4667</v>
      </c>
      <c r="E282" s="23">
        <f t="shared" si="307"/>
        <v>0.6861125</v>
      </c>
      <c r="F282" s="22">
        <f t="shared" si="308"/>
        <v>7.5333</v>
      </c>
      <c r="G282" s="23">
        <f t="shared" si="309"/>
        <v>0.3138875</v>
      </c>
      <c r="H282" s="59">
        <v>0.1254860808</v>
      </c>
      <c r="I282" s="60">
        <f t="shared" si="310"/>
        <v>7490.335746</v>
      </c>
      <c r="J282" s="61">
        <f t="shared" si="311"/>
        <v>15.16259227</v>
      </c>
      <c r="K282" s="25">
        <v>4964.0</v>
      </c>
      <c r="L282" s="62">
        <f t="shared" si="312"/>
        <v>6.894444444</v>
      </c>
      <c r="M282" s="63">
        <f t="shared" si="313"/>
        <v>1</v>
      </c>
      <c r="N282" s="63">
        <f t="shared" si="314"/>
        <v>0.3138875</v>
      </c>
      <c r="O282" s="25">
        <f t="shared" si="315"/>
        <v>-2526.335746</v>
      </c>
      <c r="P282" s="25">
        <f t="shared" si="316"/>
        <v>1558.13755</v>
      </c>
      <c r="Q282" s="64">
        <f>C282*'Rate Codes'!$D$7</f>
        <v>51.76455</v>
      </c>
      <c r="R282" s="25">
        <f>P282*'Rate Codes'!$D$8</f>
        <v>20.18255569</v>
      </c>
      <c r="S282" s="81">
        <f t="shared" si="317"/>
        <v>71.94710569</v>
      </c>
      <c r="T282" s="66">
        <f>P282*'Rate Codes'!$D$8</f>
        <v>20.18255569</v>
      </c>
      <c r="U282" s="67">
        <f>(O282)*'Billing Rate'!$B$1</f>
        <v>-171.7908307</v>
      </c>
      <c r="V282" s="25">
        <f t="shared" si="318"/>
        <v>92.12966137</v>
      </c>
      <c r="W282" s="81">
        <f t="shared" si="319"/>
        <v>-79.66116933</v>
      </c>
      <c r="X282" s="25">
        <f t="shared" si="320"/>
        <v>4.606483069</v>
      </c>
      <c r="Y282" s="81">
        <f t="shared" si="321"/>
        <v>-75.05468626</v>
      </c>
    </row>
    <row r="283">
      <c r="A283" s="12"/>
      <c r="B283" s="80" t="s">
        <v>122</v>
      </c>
      <c r="C283" s="24">
        <v>31.0</v>
      </c>
      <c r="D283" s="22">
        <v>16.05</v>
      </c>
      <c r="E283" s="23">
        <f t="shared" si="307"/>
        <v>0.66875</v>
      </c>
      <c r="F283" s="22">
        <f t="shared" si="308"/>
        <v>7.95</v>
      </c>
      <c r="G283" s="23">
        <f t="shared" si="309"/>
        <v>0.33125</v>
      </c>
      <c r="H283" s="59">
        <v>0.1449493112</v>
      </c>
      <c r="I283" s="60">
        <f t="shared" si="310"/>
        <v>8652.107071</v>
      </c>
      <c r="J283" s="61">
        <f t="shared" si="311"/>
        <v>17.38942231</v>
      </c>
      <c r="K283" s="25">
        <v>6634.0</v>
      </c>
      <c r="L283" s="62">
        <f t="shared" si="312"/>
        <v>8.916666667</v>
      </c>
      <c r="M283" s="63">
        <f t="shared" si="313"/>
        <v>1</v>
      </c>
      <c r="N283" s="63">
        <f t="shared" si="314"/>
        <v>0.33125</v>
      </c>
      <c r="O283" s="25">
        <f t="shared" si="315"/>
        <v>-2018.107071</v>
      </c>
      <c r="P283" s="25">
        <f t="shared" si="316"/>
        <v>2197.5125</v>
      </c>
      <c r="Q283" s="64">
        <f>C283*'Rate Codes'!$D$7</f>
        <v>53.490035</v>
      </c>
      <c r="R283" s="25">
        <f>P283*'Rate Codes'!$D$8</f>
        <v>28.46437941</v>
      </c>
      <c r="S283" s="81">
        <f t="shared" si="317"/>
        <v>81.95441441</v>
      </c>
      <c r="T283" s="66">
        <f>P283*'Rate Codes'!$D$8</f>
        <v>28.46437941</v>
      </c>
      <c r="U283" s="67">
        <f>(O283)*'Billing Rate'!$B$1</f>
        <v>-137.2312808</v>
      </c>
      <c r="V283" s="25">
        <f t="shared" si="318"/>
        <v>110.4187938</v>
      </c>
      <c r="W283" s="81">
        <f t="shared" si="319"/>
        <v>-26.81248699</v>
      </c>
      <c r="X283" s="25">
        <f t="shared" si="320"/>
        <v>5.520939691</v>
      </c>
      <c r="Y283" s="81">
        <f t="shared" si="321"/>
        <v>-21.2915473</v>
      </c>
    </row>
    <row r="284">
      <c r="A284" s="12"/>
      <c r="B284" s="80" t="s">
        <v>123</v>
      </c>
      <c r="C284" s="24">
        <v>31.0</v>
      </c>
      <c r="D284" s="22">
        <v>14.5167</v>
      </c>
      <c r="E284" s="23">
        <f t="shared" si="307"/>
        <v>0.6048625</v>
      </c>
      <c r="F284" s="22">
        <f t="shared" si="308"/>
        <v>9.4833</v>
      </c>
      <c r="G284" s="23">
        <f t="shared" si="309"/>
        <v>0.3951375</v>
      </c>
      <c r="H284" s="59">
        <v>0.1246952409</v>
      </c>
      <c r="I284" s="60">
        <f t="shared" si="310"/>
        <v>7443.130061</v>
      </c>
      <c r="J284" s="61">
        <f t="shared" si="311"/>
        <v>16.53963847</v>
      </c>
      <c r="K284" s="25">
        <v>5909.0</v>
      </c>
      <c r="L284" s="62">
        <f t="shared" si="312"/>
        <v>7.942204301</v>
      </c>
      <c r="M284" s="63">
        <f t="shared" si="313"/>
        <v>1</v>
      </c>
      <c r="N284" s="63">
        <f t="shared" si="314"/>
        <v>0.3951375</v>
      </c>
      <c r="O284" s="25">
        <f t="shared" si="315"/>
        <v>-1534.130061</v>
      </c>
      <c r="P284" s="25">
        <f t="shared" si="316"/>
        <v>2334.867488</v>
      </c>
      <c r="Q284" s="64">
        <f>C284*'Rate Codes'!$D$7</f>
        <v>53.490035</v>
      </c>
      <c r="R284" s="25">
        <f>P284*'Rate Codes'!$D$8</f>
        <v>30.24353857</v>
      </c>
      <c r="S284" s="81">
        <f t="shared" si="317"/>
        <v>83.73357357</v>
      </c>
      <c r="T284" s="66">
        <f>P284*'Rate Codes'!$D$8</f>
        <v>30.24353857</v>
      </c>
      <c r="U284" s="67">
        <f>(O284)*'Billing Rate'!$B$1</f>
        <v>-104.3208441</v>
      </c>
      <c r="V284" s="25">
        <f t="shared" si="318"/>
        <v>113.9771121</v>
      </c>
      <c r="W284" s="81">
        <f t="shared" si="319"/>
        <v>9.656267993</v>
      </c>
      <c r="X284" s="25">
        <f t="shared" si="320"/>
        <v>5.698855607</v>
      </c>
      <c r="Y284" s="81">
        <f t="shared" si="321"/>
        <v>15.3551236</v>
      </c>
    </row>
    <row r="285">
      <c r="A285" s="12"/>
      <c r="B285" s="80" t="s">
        <v>124</v>
      </c>
      <c r="C285" s="24">
        <v>30.0</v>
      </c>
      <c r="D285" s="22">
        <v>12.5833</v>
      </c>
      <c r="E285" s="23">
        <f t="shared" si="307"/>
        <v>0.5243041667</v>
      </c>
      <c r="F285" s="22">
        <f t="shared" si="308"/>
        <v>11.4167</v>
      </c>
      <c r="G285" s="23">
        <f t="shared" si="309"/>
        <v>0.4756958333</v>
      </c>
      <c r="H285" s="59">
        <v>0.09825803101</v>
      </c>
      <c r="I285" s="60">
        <f t="shared" si="310"/>
        <v>5865.077922</v>
      </c>
      <c r="J285" s="61">
        <f t="shared" si="311"/>
        <v>15.53667141</v>
      </c>
      <c r="K285" s="25">
        <v>5270.0</v>
      </c>
      <c r="L285" s="62">
        <f t="shared" si="312"/>
        <v>7.319444444</v>
      </c>
      <c r="M285" s="63">
        <f t="shared" si="313"/>
        <v>1</v>
      </c>
      <c r="N285" s="63">
        <f t="shared" si="314"/>
        <v>0.4756958333</v>
      </c>
      <c r="O285" s="25">
        <f t="shared" si="315"/>
        <v>-595.0779216</v>
      </c>
      <c r="P285" s="25">
        <f t="shared" si="316"/>
        <v>2506.917042</v>
      </c>
      <c r="Q285" s="64">
        <f>C285*'Rate Codes'!$D$7</f>
        <v>51.76455</v>
      </c>
      <c r="R285" s="25">
        <f>P285*'Rate Codes'!$D$8</f>
        <v>32.47209644</v>
      </c>
      <c r="S285" s="81">
        <f t="shared" si="317"/>
        <v>84.23664644</v>
      </c>
      <c r="T285" s="66">
        <f>P285*'Rate Codes'!$D$8</f>
        <v>32.47209644</v>
      </c>
      <c r="U285" s="67">
        <f>(O285)*'Billing Rate'!$B$1</f>
        <v>-40.46529867</v>
      </c>
      <c r="V285" s="25">
        <f t="shared" si="318"/>
        <v>116.7087429</v>
      </c>
      <c r="W285" s="81">
        <f t="shared" si="319"/>
        <v>76.24344421</v>
      </c>
      <c r="X285" s="25">
        <f t="shared" si="320"/>
        <v>5.835437144</v>
      </c>
      <c r="Y285" s="81">
        <f t="shared" si="321"/>
        <v>82.07888136</v>
      </c>
    </row>
    <row r="286">
      <c r="A286" s="12"/>
      <c r="B286" s="80" t="s">
        <v>125</v>
      </c>
      <c r="C286" s="24">
        <v>31.0</v>
      </c>
      <c r="D286" s="22">
        <v>10.5833</v>
      </c>
      <c r="E286" s="23">
        <f t="shared" si="307"/>
        <v>0.4409708333</v>
      </c>
      <c r="F286" s="22">
        <f t="shared" si="308"/>
        <v>13.4167</v>
      </c>
      <c r="G286" s="23">
        <f t="shared" si="309"/>
        <v>0.5590291667</v>
      </c>
      <c r="H286" s="59">
        <v>0.06840443866</v>
      </c>
      <c r="I286" s="60">
        <f t="shared" si="310"/>
        <v>4083.099964</v>
      </c>
      <c r="J286" s="61">
        <f t="shared" si="311"/>
        <v>12.44535278</v>
      </c>
      <c r="K286" s="25">
        <v>5946.0</v>
      </c>
      <c r="L286" s="62">
        <f t="shared" si="312"/>
        <v>7.991935484</v>
      </c>
      <c r="M286" s="63">
        <f t="shared" si="313"/>
        <v>1</v>
      </c>
      <c r="N286" s="63">
        <f t="shared" si="314"/>
        <v>0.5590291667</v>
      </c>
      <c r="O286" s="25">
        <f t="shared" si="315"/>
        <v>1862.900036</v>
      </c>
      <c r="P286" s="25">
        <f t="shared" si="316"/>
        <v>3323.987425</v>
      </c>
      <c r="Q286" s="64">
        <f>C286*'Rate Codes'!$D$7</f>
        <v>53.490035</v>
      </c>
      <c r="R286" s="25">
        <f>P286*'Rate Codes'!$D$8</f>
        <v>43.05560912</v>
      </c>
      <c r="S286" s="81">
        <f t="shared" si="317"/>
        <v>96.54564412</v>
      </c>
      <c r="T286" s="66">
        <f>P286*'Rate Codes'!$D$8</f>
        <v>43.05560912</v>
      </c>
      <c r="U286" s="67">
        <f>(O286)*'Billing Rate'!$B$1</f>
        <v>126.6772024</v>
      </c>
      <c r="V286" s="25">
        <f t="shared" si="318"/>
        <v>139.6012532</v>
      </c>
      <c r="W286" s="81">
        <f t="shared" si="319"/>
        <v>266.2784556</v>
      </c>
      <c r="X286" s="25">
        <f t="shared" si="320"/>
        <v>13.31392278</v>
      </c>
      <c r="Y286" s="81">
        <f t="shared" si="321"/>
        <v>279.5923784</v>
      </c>
    </row>
    <row r="287">
      <c r="A287" s="12"/>
      <c r="B287" s="80" t="s">
        <v>126</v>
      </c>
      <c r="C287" s="24">
        <v>30.0</v>
      </c>
      <c r="D287" s="22">
        <v>8.85</v>
      </c>
      <c r="E287" s="23">
        <f t="shared" si="307"/>
        <v>0.36875</v>
      </c>
      <c r="F287" s="22">
        <f t="shared" si="308"/>
        <v>15.15</v>
      </c>
      <c r="G287" s="23">
        <f t="shared" si="309"/>
        <v>0.63125</v>
      </c>
      <c r="H287" s="59">
        <v>0.0271408052</v>
      </c>
      <c r="I287" s="60">
        <f t="shared" si="310"/>
        <v>1620.050145</v>
      </c>
      <c r="J287" s="61">
        <f t="shared" si="311"/>
        <v>6.101883784</v>
      </c>
      <c r="K287" s="25">
        <v>5587.0</v>
      </c>
      <c r="L287" s="62">
        <f t="shared" si="312"/>
        <v>7.759722222</v>
      </c>
      <c r="M287" s="63">
        <f t="shared" si="313"/>
        <v>0.7863533783</v>
      </c>
      <c r="N287" s="63">
        <f t="shared" si="314"/>
        <v>0.7100321918</v>
      </c>
      <c r="O287" s="25">
        <f t="shared" si="315"/>
        <v>3966.949855</v>
      </c>
      <c r="P287" s="25">
        <f t="shared" si="316"/>
        <v>3966.949855</v>
      </c>
      <c r="Q287" s="64">
        <f>C287*'Rate Codes'!$D$7</f>
        <v>51.76455</v>
      </c>
      <c r="R287" s="25">
        <f>P287*'Rate Codes'!$D$8</f>
        <v>51.38390148</v>
      </c>
      <c r="S287" s="81">
        <f t="shared" si="317"/>
        <v>103.1484515</v>
      </c>
      <c r="T287" s="66">
        <f>P287*'Rate Codes'!$D$8</f>
        <v>51.38390148</v>
      </c>
      <c r="U287" s="67">
        <f>(O287)*'Billing Rate'!$B$1</f>
        <v>269.7525902</v>
      </c>
      <c r="V287" s="25">
        <f t="shared" si="318"/>
        <v>154.532353</v>
      </c>
      <c r="W287" s="81">
        <f t="shared" si="319"/>
        <v>424.2849431</v>
      </c>
      <c r="X287" s="25">
        <f t="shared" si="320"/>
        <v>21.21424716</v>
      </c>
      <c r="Y287" s="81">
        <f t="shared" si="321"/>
        <v>445.4991903</v>
      </c>
    </row>
    <row r="288">
      <c r="A288" s="12"/>
      <c r="B288" s="80" t="s">
        <v>127</v>
      </c>
      <c r="C288" s="24">
        <v>31.0</v>
      </c>
      <c r="D288" s="22">
        <v>7.9667</v>
      </c>
      <c r="E288" s="23">
        <f t="shared" si="307"/>
        <v>0.3319458333</v>
      </c>
      <c r="F288" s="22">
        <f t="shared" si="308"/>
        <v>16.0333</v>
      </c>
      <c r="G288" s="23">
        <f t="shared" si="309"/>
        <v>0.6680541667</v>
      </c>
      <c r="H288" s="59">
        <v>0.01559005293</v>
      </c>
      <c r="I288" s="60">
        <f t="shared" si="310"/>
        <v>930.5791526</v>
      </c>
      <c r="J288" s="61">
        <f t="shared" si="311"/>
        <v>3.768019675</v>
      </c>
      <c r="K288" s="25">
        <v>5490.0</v>
      </c>
      <c r="L288" s="62">
        <f t="shared" si="312"/>
        <v>7.379032258</v>
      </c>
      <c r="M288" s="63">
        <f t="shared" si="313"/>
        <v>0.5106387319</v>
      </c>
      <c r="N288" s="63">
        <f t="shared" si="314"/>
        <v>0.8304956006</v>
      </c>
      <c r="O288" s="25">
        <f t="shared" si="315"/>
        <v>4559.420847</v>
      </c>
      <c r="P288" s="25">
        <f t="shared" si="316"/>
        <v>4559.420847</v>
      </c>
      <c r="Q288" s="64">
        <f>C288*'Rate Codes'!$D$7</f>
        <v>53.490035</v>
      </c>
      <c r="R288" s="25">
        <f>P288*'Rate Codes'!$D$8</f>
        <v>59.05817824</v>
      </c>
      <c r="S288" s="81">
        <f t="shared" si="317"/>
        <v>112.5482132</v>
      </c>
      <c r="T288" s="66">
        <f>P288*'Rate Codes'!$D$8</f>
        <v>59.05817824</v>
      </c>
      <c r="U288" s="67">
        <f>(O288)*'Billing Rate'!$B$1</f>
        <v>310.0406176</v>
      </c>
      <c r="V288" s="25">
        <f t="shared" si="318"/>
        <v>171.6063915</v>
      </c>
      <c r="W288" s="81">
        <f t="shared" si="319"/>
        <v>481.6470091</v>
      </c>
      <c r="X288" s="25">
        <f t="shared" si="320"/>
        <v>24.08235045</v>
      </c>
      <c r="Y288" s="81">
        <f t="shared" si="321"/>
        <v>505.7293595</v>
      </c>
    </row>
    <row r="289">
      <c r="A289" s="12"/>
      <c r="B289" s="77" t="s">
        <v>109</v>
      </c>
      <c r="C289" s="82"/>
      <c r="D289" s="83"/>
      <c r="E289" s="83"/>
      <c r="F289" s="83"/>
      <c r="G289" s="83"/>
      <c r="H289" s="83">
        <f t="shared" ref="H289:I289" si="322">SUM(H277:H288)</f>
        <v>1</v>
      </c>
      <c r="I289" s="84">
        <f t="shared" si="322"/>
        <v>59690.57044</v>
      </c>
      <c r="J289" s="84"/>
      <c r="K289" s="85">
        <f>SUM(K277:K288)</f>
        <v>66307</v>
      </c>
      <c r="L289" s="85"/>
      <c r="M289" s="85"/>
      <c r="N289" s="85"/>
      <c r="O289" s="85">
        <f t="shared" ref="O289:U289" si="323">SUM(O277:O288)</f>
        <v>6616.429556</v>
      </c>
      <c r="P289" s="48">
        <f t="shared" si="323"/>
        <v>34243.99633</v>
      </c>
      <c r="Q289" s="85">
        <f t="shared" si="323"/>
        <v>629.802025</v>
      </c>
      <c r="R289" s="85">
        <f t="shared" si="323"/>
        <v>443.5624845</v>
      </c>
      <c r="S289" s="85">
        <f t="shared" si="323"/>
        <v>1073.36451</v>
      </c>
      <c r="T289" s="85">
        <f t="shared" si="323"/>
        <v>443.5624845</v>
      </c>
      <c r="U289" s="85">
        <f t="shared" si="323"/>
        <v>449.9172098</v>
      </c>
      <c r="V289" s="48">
        <f t="shared" si="318"/>
        <v>1516.926994</v>
      </c>
      <c r="W289" s="85">
        <f t="shared" ref="W289:Y289" si="324">SUM(W277:W288)</f>
        <v>1966.844204</v>
      </c>
      <c r="X289" s="85">
        <f t="shared" si="324"/>
        <v>133.6660796</v>
      </c>
      <c r="Y289" s="85">
        <f t="shared" si="324"/>
        <v>2100.510283</v>
      </c>
    </row>
    <row r="291">
      <c r="A291" s="76">
        <v>18.0</v>
      </c>
      <c r="B291" s="12" t="s">
        <v>128</v>
      </c>
      <c r="C291" s="12"/>
      <c r="D291" s="15"/>
      <c r="E291" s="15"/>
      <c r="F291" s="15"/>
      <c r="G291" s="15"/>
      <c r="H291" s="15">
        <f>$H$1* POWER((1 -$O$1),A291)</f>
        <v>59392.11759</v>
      </c>
      <c r="I291" s="1" t="s">
        <v>132</v>
      </c>
      <c r="J291" s="1"/>
      <c r="K291" s="8">
        <f>H291/K305</f>
        <v>0.8957141417</v>
      </c>
      <c r="L291" s="8"/>
      <c r="M291" s="8"/>
      <c r="N291" s="8"/>
      <c r="O291" s="1" t="s">
        <v>133</v>
      </c>
      <c r="P291" s="6">
        <f>1-K291</f>
        <v>0.1042858583</v>
      </c>
      <c r="Q291" s="12" t="s">
        <v>74</v>
      </c>
      <c r="T291" s="12" t="s">
        <v>78</v>
      </c>
      <c r="U291" s="12"/>
      <c r="V291" s="12"/>
      <c r="W291" s="12"/>
      <c r="X291" s="12"/>
      <c r="Y291" s="12"/>
    </row>
    <row r="292">
      <c r="A292" s="12"/>
      <c r="B292" s="77" t="s">
        <v>83</v>
      </c>
      <c r="C292" s="20" t="s">
        <v>88</v>
      </c>
      <c r="D292" s="20" t="s">
        <v>84</v>
      </c>
      <c r="E292" s="20" t="s">
        <v>85</v>
      </c>
      <c r="F292" s="20" t="s">
        <v>86</v>
      </c>
      <c r="G292" s="20" t="s">
        <v>87</v>
      </c>
      <c r="H292" s="20" t="s">
        <v>134</v>
      </c>
      <c r="I292" s="44" t="s">
        <v>135</v>
      </c>
      <c r="J292" s="53" t="s">
        <v>92</v>
      </c>
      <c r="K292" s="20" t="s">
        <v>89</v>
      </c>
      <c r="L292" s="53" t="s">
        <v>90</v>
      </c>
      <c r="M292" s="53" t="s">
        <v>136</v>
      </c>
      <c r="N292" s="53" t="s">
        <v>137</v>
      </c>
      <c r="O292" s="20" t="s">
        <v>138</v>
      </c>
      <c r="P292" s="20" t="s">
        <v>139</v>
      </c>
      <c r="Q292" s="78" t="s">
        <v>76</v>
      </c>
      <c r="R292" s="78" t="s">
        <v>82</v>
      </c>
      <c r="S292" s="78" t="s">
        <v>109</v>
      </c>
      <c r="T292" s="78" t="s">
        <v>80</v>
      </c>
      <c r="U292" s="78" t="s">
        <v>67</v>
      </c>
      <c r="V292" s="45" t="s">
        <v>114</v>
      </c>
      <c r="W292" s="79" t="s">
        <v>115</v>
      </c>
      <c r="X292" s="79" t="s">
        <v>60</v>
      </c>
      <c r="Y292" s="79" t="s">
        <v>109</v>
      </c>
    </row>
    <row r="293">
      <c r="A293" s="12"/>
      <c r="B293" s="80" t="s">
        <v>117</v>
      </c>
      <c r="C293" s="24">
        <v>31.0</v>
      </c>
      <c r="D293" s="22">
        <v>8.45</v>
      </c>
      <c r="E293" s="23">
        <f t="shared" ref="E293:E304" si="325">D293/24</f>
        <v>0.3520833333</v>
      </c>
      <c r="F293" s="22">
        <f t="shared" ref="F293:F304" si="326">24-D293</f>
        <v>15.55</v>
      </c>
      <c r="G293" s="23">
        <f t="shared" ref="G293:G304" si="327">F293/24</f>
        <v>0.6479166667</v>
      </c>
      <c r="H293" s="59">
        <v>0.02731296772</v>
      </c>
      <c r="I293" s="60">
        <f t="shared" ref="I293:I304" si="328">H$291*H293</f>
        <v>1622.174991</v>
      </c>
      <c r="J293" s="61">
        <f t="shared" ref="J293:J304" si="329">I293/C293/D293</f>
        <v>6.192689409</v>
      </c>
      <c r="K293" s="25">
        <v>5726.0</v>
      </c>
      <c r="L293" s="62">
        <f t="shared" ref="L293:L304" si="330">K293/C293/24</f>
        <v>7.696236559</v>
      </c>
      <c r="M293" s="63">
        <f t="shared" ref="M293:M304" si="331">IF((J293/L293)&gt;1,1,J293/L293)</f>
        <v>0.8046386518</v>
      </c>
      <c r="N293" s="63">
        <f t="shared" ref="N293:N304" si="332">1-E293*M293</f>
        <v>0.7167001414</v>
      </c>
      <c r="O293" s="25">
        <f t="shared" ref="O293:O304" si="333">K293-I293</f>
        <v>4103.825009</v>
      </c>
      <c r="P293" s="25">
        <f t="shared" ref="P293:P304" si="334">K293*N293</f>
        <v>4103.825009</v>
      </c>
      <c r="Q293" s="64">
        <f>C293*'Rate Codes'!$D$7</f>
        <v>53.490035</v>
      </c>
      <c r="R293" s="25">
        <f>P293*'Rate Codes'!$D$8</f>
        <v>53.15684535</v>
      </c>
      <c r="S293" s="81">
        <f t="shared" ref="S293:S304" si="335">SUM(Q293:R293)</f>
        <v>106.6468803</v>
      </c>
      <c r="T293" s="66">
        <f>P293*'Rate Codes'!$D$8</f>
        <v>53.15684535</v>
      </c>
      <c r="U293" s="67">
        <f>(O293)*'Billing Rate'!$B$1</f>
        <v>279.0601006</v>
      </c>
      <c r="V293" s="25">
        <f t="shared" ref="V293:V305" si="336">S293+T293</f>
        <v>159.8037257</v>
      </c>
      <c r="W293" s="81">
        <f t="shared" ref="W293:W304" si="337">U293+S293+T293</f>
        <v>438.8638263</v>
      </c>
      <c r="X293" s="25">
        <f t="shared" ref="X293:X304" si="338">(IF(U293&gt;0,U293,0)+V293)*0.05</f>
        <v>21.94319132</v>
      </c>
      <c r="Y293" s="81">
        <f t="shared" ref="Y293:Y304" si="339">W293+X293</f>
        <v>460.8070177</v>
      </c>
    </row>
    <row r="294">
      <c r="A294" s="12"/>
      <c r="B294" s="80" t="s">
        <v>118</v>
      </c>
      <c r="C294" s="24">
        <v>28.0</v>
      </c>
      <c r="D294" s="22">
        <v>9.9167</v>
      </c>
      <c r="E294" s="23">
        <f t="shared" si="325"/>
        <v>0.4131958333</v>
      </c>
      <c r="F294" s="22">
        <f t="shared" si="326"/>
        <v>14.0833</v>
      </c>
      <c r="G294" s="23">
        <f t="shared" si="327"/>
        <v>0.5868041667</v>
      </c>
      <c r="H294" s="59">
        <v>0.04620731865</v>
      </c>
      <c r="I294" s="60">
        <f t="shared" si="328"/>
        <v>2744.350503</v>
      </c>
      <c r="J294" s="61">
        <f t="shared" si="329"/>
        <v>9.883582034</v>
      </c>
      <c r="K294" s="25">
        <v>5279.0</v>
      </c>
      <c r="L294" s="62">
        <f t="shared" si="330"/>
        <v>7.855654762</v>
      </c>
      <c r="M294" s="63">
        <f t="shared" si="331"/>
        <v>1</v>
      </c>
      <c r="N294" s="63">
        <f t="shared" si="332"/>
        <v>0.5868041667</v>
      </c>
      <c r="O294" s="25">
        <f t="shared" si="333"/>
        <v>2534.649497</v>
      </c>
      <c r="P294" s="25">
        <f t="shared" si="334"/>
        <v>3097.739196</v>
      </c>
      <c r="Q294" s="64">
        <f>C294*'Rate Codes'!$D$7</f>
        <v>48.31358</v>
      </c>
      <c r="R294" s="25">
        <f>P294*'Rate Codes'!$D$8</f>
        <v>40.1250158</v>
      </c>
      <c r="S294" s="81">
        <f t="shared" si="335"/>
        <v>88.4385958</v>
      </c>
      <c r="T294" s="66">
        <f>P294*'Rate Codes'!$D$8</f>
        <v>40.1250158</v>
      </c>
      <c r="U294" s="67">
        <f>(O294)*'Billing Rate'!$B$1</f>
        <v>172.3561658</v>
      </c>
      <c r="V294" s="25">
        <f t="shared" si="336"/>
        <v>128.5636116</v>
      </c>
      <c r="W294" s="81">
        <f t="shared" si="337"/>
        <v>300.9197774</v>
      </c>
      <c r="X294" s="25">
        <f t="shared" si="338"/>
        <v>15.04598887</v>
      </c>
      <c r="Y294" s="81">
        <f t="shared" si="339"/>
        <v>315.9657663</v>
      </c>
    </row>
    <row r="295">
      <c r="A295" s="12"/>
      <c r="B295" s="80" t="s">
        <v>119</v>
      </c>
      <c r="C295" s="24">
        <v>31.0</v>
      </c>
      <c r="D295" s="22">
        <v>11.8</v>
      </c>
      <c r="E295" s="23">
        <f t="shared" si="325"/>
        <v>0.4916666667</v>
      </c>
      <c r="F295" s="22">
        <f t="shared" si="326"/>
        <v>12.2</v>
      </c>
      <c r="G295" s="23">
        <f t="shared" si="327"/>
        <v>0.5083333333</v>
      </c>
      <c r="H295" s="59">
        <v>0.08500831624</v>
      </c>
      <c r="I295" s="60">
        <f t="shared" si="328"/>
        <v>5048.823914</v>
      </c>
      <c r="J295" s="61">
        <f t="shared" si="329"/>
        <v>13.80214301</v>
      </c>
      <c r="K295" s="25">
        <v>4991.0</v>
      </c>
      <c r="L295" s="62">
        <f t="shared" si="330"/>
        <v>6.708333333</v>
      </c>
      <c r="M295" s="63">
        <f t="shared" si="331"/>
        <v>1</v>
      </c>
      <c r="N295" s="63">
        <f t="shared" si="332"/>
        <v>0.5083333333</v>
      </c>
      <c r="O295" s="25">
        <f t="shared" si="333"/>
        <v>-57.82391432</v>
      </c>
      <c r="P295" s="25">
        <f t="shared" si="334"/>
        <v>2537.091667</v>
      </c>
      <c r="Q295" s="64">
        <f>C295*'Rate Codes'!$D$7</f>
        <v>53.490035</v>
      </c>
      <c r="R295" s="25">
        <f>P295*'Rate Codes'!$D$8</f>
        <v>32.86294836</v>
      </c>
      <c r="S295" s="81">
        <f t="shared" si="335"/>
        <v>86.35298336</v>
      </c>
      <c r="T295" s="66">
        <f>P295*'Rate Codes'!$D$8</f>
        <v>32.86294836</v>
      </c>
      <c r="U295" s="67">
        <f>(O295)*'Billing Rate'!$B$1</f>
        <v>-3.932026174</v>
      </c>
      <c r="V295" s="25">
        <f t="shared" si="336"/>
        <v>119.2159317</v>
      </c>
      <c r="W295" s="81">
        <f t="shared" si="337"/>
        <v>115.2839055</v>
      </c>
      <c r="X295" s="25">
        <f t="shared" si="338"/>
        <v>5.960796586</v>
      </c>
      <c r="Y295" s="81">
        <f t="shared" si="339"/>
        <v>121.2447021</v>
      </c>
    </row>
    <row r="296">
      <c r="A296" s="12"/>
      <c r="B296" s="80" t="s">
        <v>120</v>
      </c>
      <c r="C296" s="24">
        <v>30.0</v>
      </c>
      <c r="D296" s="22">
        <v>13.8</v>
      </c>
      <c r="E296" s="23">
        <f t="shared" si="325"/>
        <v>0.575</v>
      </c>
      <c r="F296" s="22">
        <f t="shared" si="326"/>
        <v>10.2</v>
      </c>
      <c r="G296" s="23">
        <f t="shared" si="327"/>
        <v>0.425</v>
      </c>
      <c r="H296" s="59">
        <v>0.108773175</v>
      </c>
      <c r="I296" s="60">
        <f t="shared" si="328"/>
        <v>6460.2692</v>
      </c>
      <c r="J296" s="61">
        <f t="shared" si="329"/>
        <v>15.60451498</v>
      </c>
      <c r="K296" s="25">
        <v>4952.0</v>
      </c>
      <c r="L296" s="62">
        <f t="shared" si="330"/>
        <v>6.877777778</v>
      </c>
      <c r="M296" s="63">
        <f t="shared" si="331"/>
        <v>1</v>
      </c>
      <c r="N296" s="63">
        <f t="shared" si="332"/>
        <v>0.425</v>
      </c>
      <c r="O296" s="25">
        <f t="shared" si="333"/>
        <v>-1508.2692</v>
      </c>
      <c r="P296" s="25">
        <f t="shared" si="334"/>
        <v>2104.6</v>
      </c>
      <c r="Q296" s="64">
        <f>C296*'Rate Codes'!$D$7</f>
        <v>51.76455</v>
      </c>
      <c r="R296" s="25">
        <f>P296*'Rate Codes'!$D$8</f>
        <v>27.2608838</v>
      </c>
      <c r="S296" s="81">
        <f t="shared" si="335"/>
        <v>79.0254338</v>
      </c>
      <c r="T296" s="66">
        <f>P296*'Rate Codes'!$D$8</f>
        <v>27.2608838</v>
      </c>
      <c r="U296" s="67">
        <f>(O296)*'Billing Rate'!$B$1</f>
        <v>-102.5623056</v>
      </c>
      <c r="V296" s="25">
        <f t="shared" si="336"/>
        <v>106.2863176</v>
      </c>
      <c r="W296" s="81">
        <f t="shared" si="337"/>
        <v>3.724011978</v>
      </c>
      <c r="X296" s="25">
        <f t="shared" si="338"/>
        <v>5.31431588</v>
      </c>
      <c r="Y296" s="81">
        <f t="shared" si="339"/>
        <v>9.038327858</v>
      </c>
    </row>
    <row r="297">
      <c r="A297" s="12"/>
      <c r="B297" s="80" t="s">
        <v>98</v>
      </c>
      <c r="C297" s="24">
        <v>31.0</v>
      </c>
      <c r="D297" s="22">
        <v>15.5333</v>
      </c>
      <c r="E297" s="23">
        <f t="shared" si="325"/>
        <v>0.6472208333</v>
      </c>
      <c r="F297" s="22">
        <f t="shared" si="326"/>
        <v>8.4667</v>
      </c>
      <c r="G297" s="23">
        <f t="shared" si="327"/>
        <v>0.3527791667</v>
      </c>
      <c r="H297" s="59">
        <v>0.1281742617</v>
      </c>
      <c r="I297" s="60">
        <f t="shared" si="328"/>
        <v>7612.540823</v>
      </c>
      <c r="J297" s="61">
        <f t="shared" si="329"/>
        <v>15.80899313</v>
      </c>
      <c r="K297" s="25">
        <v>5559.0</v>
      </c>
      <c r="L297" s="62">
        <f t="shared" si="330"/>
        <v>7.471774194</v>
      </c>
      <c r="M297" s="63">
        <f t="shared" si="331"/>
        <v>1</v>
      </c>
      <c r="N297" s="63">
        <f t="shared" si="332"/>
        <v>0.3527791667</v>
      </c>
      <c r="O297" s="25">
        <f t="shared" si="333"/>
        <v>-2053.540823</v>
      </c>
      <c r="P297" s="25">
        <f t="shared" si="334"/>
        <v>1961.099388</v>
      </c>
      <c r="Q297" s="64">
        <f>C297*'Rate Codes'!$D$7</f>
        <v>53.490035</v>
      </c>
      <c r="R297" s="25">
        <f>P297*'Rate Codes'!$D$8</f>
        <v>25.40212037</v>
      </c>
      <c r="S297" s="81">
        <f t="shared" si="335"/>
        <v>78.89215537</v>
      </c>
      <c r="T297" s="66">
        <f>P297*'Rate Codes'!$D$8</f>
        <v>25.40212037</v>
      </c>
      <c r="U297" s="67">
        <f>(O297)*'Billing Rate'!$B$1</f>
        <v>-139.640776</v>
      </c>
      <c r="V297" s="25">
        <f t="shared" si="336"/>
        <v>104.2942757</v>
      </c>
      <c r="W297" s="81">
        <f t="shared" si="337"/>
        <v>-35.34650023</v>
      </c>
      <c r="X297" s="25">
        <f t="shared" si="338"/>
        <v>5.214713787</v>
      </c>
      <c r="Y297" s="81">
        <f t="shared" si="339"/>
        <v>-30.13178644</v>
      </c>
    </row>
    <row r="298">
      <c r="A298" s="12"/>
      <c r="B298" s="80" t="s">
        <v>121</v>
      </c>
      <c r="C298" s="24">
        <v>30.0</v>
      </c>
      <c r="D298" s="22">
        <v>16.4667</v>
      </c>
      <c r="E298" s="23">
        <f t="shared" si="325"/>
        <v>0.6861125</v>
      </c>
      <c r="F298" s="22">
        <f t="shared" si="326"/>
        <v>7.5333</v>
      </c>
      <c r="G298" s="23">
        <f t="shared" si="327"/>
        <v>0.3138875</v>
      </c>
      <c r="H298" s="59">
        <v>0.1254860808</v>
      </c>
      <c r="I298" s="60">
        <f t="shared" si="328"/>
        <v>7452.884067</v>
      </c>
      <c r="J298" s="61">
        <f t="shared" si="329"/>
        <v>15.08677931</v>
      </c>
      <c r="K298" s="25">
        <v>4964.0</v>
      </c>
      <c r="L298" s="62">
        <f t="shared" si="330"/>
        <v>6.894444444</v>
      </c>
      <c r="M298" s="63">
        <f t="shared" si="331"/>
        <v>1</v>
      </c>
      <c r="N298" s="63">
        <f t="shared" si="332"/>
        <v>0.3138875</v>
      </c>
      <c r="O298" s="25">
        <f t="shared" si="333"/>
        <v>-2488.884067</v>
      </c>
      <c r="P298" s="25">
        <f t="shared" si="334"/>
        <v>1558.13755</v>
      </c>
      <c r="Q298" s="64">
        <f>C298*'Rate Codes'!$D$7</f>
        <v>51.76455</v>
      </c>
      <c r="R298" s="25">
        <f>P298*'Rate Codes'!$D$8</f>
        <v>20.18255569</v>
      </c>
      <c r="S298" s="81">
        <f t="shared" si="335"/>
        <v>71.94710569</v>
      </c>
      <c r="T298" s="66">
        <f>P298*'Rate Codes'!$D$8</f>
        <v>20.18255569</v>
      </c>
      <c r="U298" s="67">
        <f>(O298)*'Billing Rate'!$B$1</f>
        <v>-169.2441165</v>
      </c>
      <c r="V298" s="25">
        <f t="shared" si="336"/>
        <v>92.12966137</v>
      </c>
      <c r="W298" s="81">
        <f t="shared" si="337"/>
        <v>-77.11445518</v>
      </c>
      <c r="X298" s="25">
        <f t="shared" si="338"/>
        <v>4.606483069</v>
      </c>
      <c r="Y298" s="81">
        <f t="shared" si="339"/>
        <v>-72.50797211</v>
      </c>
    </row>
    <row r="299">
      <c r="A299" s="12"/>
      <c r="B299" s="80" t="s">
        <v>122</v>
      </c>
      <c r="C299" s="24">
        <v>31.0</v>
      </c>
      <c r="D299" s="22">
        <v>16.05</v>
      </c>
      <c r="E299" s="23">
        <f t="shared" si="325"/>
        <v>0.66875</v>
      </c>
      <c r="F299" s="22">
        <f t="shared" si="326"/>
        <v>7.95</v>
      </c>
      <c r="G299" s="23">
        <f t="shared" si="327"/>
        <v>0.33125</v>
      </c>
      <c r="H299" s="59">
        <v>0.1449493112</v>
      </c>
      <c r="I299" s="60">
        <f t="shared" si="328"/>
        <v>8608.846535</v>
      </c>
      <c r="J299" s="61">
        <f t="shared" si="329"/>
        <v>17.3024752</v>
      </c>
      <c r="K299" s="25">
        <v>6634.0</v>
      </c>
      <c r="L299" s="62">
        <f t="shared" si="330"/>
        <v>8.916666667</v>
      </c>
      <c r="M299" s="63">
        <f t="shared" si="331"/>
        <v>1</v>
      </c>
      <c r="N299" s="63">
        <f t="shared" si="332"/>
        <v>0.33125</v>
      </c>
      <c r="O299" s="25">
        <f t="shared" si="333"/>
        <v>-1974.846535</v>
      </c>
      <c r="P299" s="25">
        <f t="shared" si="334"/>
        <v>2197.5125</v>
      </c>
      <c r="Q299" s="64">
        <f>C299*'Rate Codes'!$D$7</f>
        <v>53.490035</v>
      </c>
      <c r="R299" s="25">
        <f>P299*'Rate Codes'!$D$8</f>
        <v>28.46437941</v>
      </c>
      <c r="S299" s="81">
        <f t="shared" si="335"/>
        <v>81.95441441</v>
      </c>
      <c r="T299" s="66">
        <f>P299*'Rate Codes'!$D$8</f>
        <v>28.46437941</v>
      </c>
      <c r="U299" s="67">
        <f>(O299)*'Billing Rate'!$B$1</f>
        <v>-134.2895644</v>
      </c>
      <c r="V299" s="25">
        <f t="shared" si="336"/>
        <v>110.4187938</v>
      </c>
      <c r="W299" s="81">
        <f t="shared" si="337"/>
        <v>-23.87077059</v>
      </c>
      <c r="X299" s="25">
        <f t="shared" si="338"/>
        <v>5.520939691</v>
      </c>
      <c r="Y299" s="81">
        <f t="shared" si="339"/>
        <v>-18.3498309</v>
      </c>
    </row>
    <row r="300">
      <c r="A300" s="12"/>
      <c r="B300" s="80" t="s">
        <v>123</v>
      </c>
      <c r="C300" s="24">
        <v>31.0</v>
      </c>
      <c r="D300" s="22">
        <v>14.5167</v>
      </c>
      <c r="E300" s="23">
        <f t="shared" si="325"/>
        <v>0.6048625</v>
      </c>
      <c r="F300" s="22">
        <f t="shared" si="326"/>
        <v>9.4833</v>
      </c>
      <c r="G300" s="23">
        <f t="shared" si="327"/>
        <v>0.3951375</v>
      </c>
      <c r="H300" s="59">
        <v>0.1246952409</v>
      </c>
      <c r="I300" s="60">
        <f t="shared" si="328"/>
        <v>7405.914411</v>
      </c>
      <c r="J300" s="61">
        <f t="shared" si="329"/>
        <v>16.45694027</v>
      </c>
      <c r="K300" s="25">
        <v>5909.0</v>
      </c>
      <c r="L300" s="62">
        <f t="shared" si="330"/>
        <v>7.942204301</v>
      </c>
      <c r="M300" s="63">
        <f t="shared" si="331"/>
        <v>1</v>
      </c>
      <c r="N300" s="63">
        <f t="shared" si="332"/>
        <v>0.3951375</v>
      </c>
      <c r="O300" s="25">
        <f t="shared" si="333"/>
        <v>-1496.914411</v>
      </c>
      <c r="P300" s="25">
        <f t="shared" si="334"/>
        <v>2334.867488</v>
      </c>
      <c r="Q300" s="64">
        <f>C300*'Rate Codes'!$D$7</f>
        <v>53.490035</v>
      </c>
      <c r="R300" s="25">
        <f>P300*'Rate Codes'!$D$8</f>
        <v>30.24353857</v>
      </c>
      <c r="S300" s="81">
        <f t="shared" si="335"/>
        <v>83.73357357</v>
      </c>
      <c r="T300" s="66">
        <f>P300*'Rate Codes'!$D$8</f>
        <v>30.24353857</v>
      </c>
      <c r="U300" s="67">
        <f>(O300)*'Billing Rate'!$B$1</f>
        <v>-101.7901799</v>
      </c>
      <c r="V300" s="25">
        <f t="shared" si="336"/>
        <v>113.9771121</v>
      </c>
      <c r="W300" s="81">
        <f t="shared" si="337"/>
        <v>12.18693221</v>
      </c>
      <c r="X300" s="25">
        <f t="shared" si="338"/>
        <v>5.698855607</v>
      </c>
      <c r="Y300" s="81">
        <f t="shared" si="339"/>
        <v>17.88578782</v>
      </c>
    </row>
    <row r="301">
      <c r="A301" s="12"/>
      <c r="B301" s="80" t="s">
        <v>124</v>
      </c>
      <c r="C301" s="24">
        <v>30.0</v>
      </c>
      <c r="D301" s="22">
        <v>12.5833</v>
      </c>
      <c r="E301" s="23">
        <f t="shared" si="325"/>
        <v>0.5243041667</v>
      </c>
      <c r="F301" s="22">
        <f t="shared" si="326"/>
        <v>11.4167</v>
      </c>
      <c r="G301" s="23">
        <f t="shared" si="327"/>
        <v>0.4756958333</v>
      </c>
      <c r="H301" s="59">
        <v>0.09825803101</v>
      </c>
      <c r="I301" s="60">
        <f t="shared" si="328"/>
        <v>5835.752532</v>
      </c>
      <c r="J301" s="61">
        <f t="shared" si="329"/>
        <v>15.45898806</v>
      </c>
      <c r="K301" s="25">
        <v>5270.0</v>
      </c>
      <c r="L301" s="62">
        <f t="shared" si="330"/>
        <v>7.319444444</v>
      </c>
      <c r="M301" s="63">
        <f t="shared" si="331"/>
        <v>1</v>
      </c>
      <c r="N301" s="63">
        <f t="shared" si="332"/>
        <v>0.4756958333</v>
      </c>
      <c r="O301" s="25">
        <f t="shared" si="333"/>
        <v>-565.752532</v>
      </c>
      <c r="P301" s="25">
        <f t="shared" si="334"/>
        <v>2506.917042</v>
      </c>
      <c r="Q301" s="64">
        <f>C301*'Rate Codes'!$D$7</f>
        <v>51.76455</v>
      </c>
      <c r="R301" s="25">
        <f>P301*'Rate Codes'!$D$8</f>
        <v>32.47209644</v>
      </c>
      <c r="S301" s="81">
        <f t="shared" si="335"/>
        <v>84.23664644</v>
      </c>
      <c r="T301" s="66">
        <f>P301*'Rate Codes'!$D$8</f>
        <v>32.47209644</v>
      </c>
      <c r="U301" s="67">
        <f>(O301)*'Billing Rate'!$B$1</f>
        <v>-38.47117218</v>
      </c>
      <c r="V301" s="25">
        <f t="shared" si="336"/>
        <v>116.7087429</v>
      </c>
      <c r="W301" s="81">
        <f t="shared" si="337"/>
        <v>78.23757071</v>
      </c>
      <c r="X301" s="25">
        <f t="shared" si="338"/>
        <v>5.835437144</v>
      </c>
      <c r="Y301" s="81">
        <f t="shared" si="339"/>
        <v>84.07300785</v>
      </c>
    </row>
    <row r="302">
      <c r="A302" s="12"/>
      <c r="B302" s="80" t="s">
        <v>125</v>
      </c>
      <c r="C302" s="24">
        <v>31.0</v>
      </c>
      <c r="D302" s="22">
        <v>10.5833</v>
      </c>
      <c r="E302" s="23">
        <f t="shared" si="325"/>
        <v>0.4409708333</v>
      </c>
      <c r="F302" s="22">
        <f t="shared" si="326"/>
        <v>13.4167</v>
      </c>
      <c r="G302" s="23">
        <f t="shared" si="327"/>
        <v>0.5590291667</v>
      </c>
      <c r="H302" s="59">
        <v>0.06840443866</v>
      </c>
      <c r="I302" s="60">
        <f t="shared" si="328"/>
        <v>4062.684465</v>
      </c>
      <c r="J302" s="61">
        <f t="shared" si="329"/>
        <v>12.38312602</v>
      </c>
      <c r="K302" s="25">
        <v>5946.0</v>
      </c>
      <c r="L302" s="62">
        <f t="shared" si="330"/>
        <v>7.991935484</v>
      </c>
      <c r="M302" s="63">
        <f t="shared" si="331"/>
        <v>1</v>
      </c>
      <c r="N302" s="63">
        <f t="shared" si="332"/>
        <v>0.5590291667</v>
      </c>
      <c r="O302" s="25">
        <f t="shared" si="333"/>
        <v>1883.315535</v>
      </c>
      <c r="P302" s="25">
        <f t="shared" si="334"/>
        <v>3323.987425</v>
      </c>
      <c r="Q302" s="64">
        <f>C302*'Rate Codes'!$D$7</f>
        <v>53.490035</v>
      </c>
      <c r="R302" s="25">
        <f>P302*'Rate Codes'!$D$8</f>
        <v>43.05560912</v>
      </c>
      <c r="S302" s="81">
        <f t="shared" si="335"/>
        <v>96.54564412</v>
      </c>
      <c r="T302" s="66">
        <f>P302*'Rate Codes'!$D$8</f>
        <v>43.05560912</v>
      </c>
      <c r="U302" s="67">
        <f>(O302)*'Billing Rate'!$B$1</f>
        <v>128.0654564</v>
      </c>
      <c r="V302" s="25">
        <f t="shared" si="336"/>
        <v>139.6012532</v>
      </c>
      <c r="W302" s="81">
        <f t="shared" si="337"/>
        <v>267.6667096</v>
      </c>
      <c r="X302" s="25">
        <f t="shared" si="338"/>
        <v>13.38333548</v>
      </c>
      <c r="Y302" s="81">
        <f t="shared" si="339"/>
        <v>281.0500451</v>
      </c>
    </row>
    <row r="303">
      <c r="A303" s="12"/>
      <c r="B303" s="80" t="s">
        <v>126</v>
      </c>
      <c r="C303" s="24">
        <v>30.0</v>
      </c>
      <c r="D303" s="22">
        <v>8.85</v>
      </c>
      <c r="E303" s="23">
        <f t="shared" si="325"/>
        <v>0.36875</v>
      </c>
      <c r="F303" s="22">
        <f t="shared" si="326"/>
        <v>15.15</v>
      </c>
      <c r="G303" s="23">
        <f t="shared" si="327"/>
        <v>0.63125</v>
      </c>
      <c r="H303" s="59">
        <v>0.0271408052</v>
      </c>
      <c r="I303" s="60">
        <f t="shared" si="328"/>
        <v>1611.949894</v>
      </c>
      <c r="J303" s="61">
        <f t="shared" si="329"/>
        <v>6.071374365</v>
      </c>
      <c r="K303" s="25">
        <v>5587.0</v>
      </c>
      <c r="L303" s="62">
        <f t="shared" si="330"/>
        <v>7.759722222</v>
      </c>
      <c r="M303" s="63">
        <f t="shared" si="331"/>
        <v>0.7824216114</v>
      </c>
      <c r="N303" s="63">
        <f t="shared" si="332"/>
        <v>0.7114820308</v>
      </c>
      <c r="O303" s="25">
        <f t="shared" si="333"/>
        <v>3975.050106</v>
      </c>
      <c r="P303" s="25">
        <f t="shared" si="334"/>
        <v>3975.050106</v>
      </c>
      <c r="Q303" s="64">
        <f>C303*'Rate Codes'!$D$7</f>
        <v>51.76455</v>
      </c>
      <c r="R303" s="25">
        <f>P303*'Rate Codes'!$D$8</f>
        <v>51.48882402</v>
      </c>
      <c r="S303" s="81">
        <f t="shared" si="335"/>
        <v>103.253374</v>
      </c>
      <c r="T303" s="66">
        <f>P303*'Rate Codes'!$D$8</f>
        <v>51.48882402</v>
      </c>
      <c r="U303" s="67">
        <f>(O303)*'Billing Rate'!$B$1</f>
        <v>270.3034072</v>
      </c>
      <c r="V303" s="25">
        <f t="shared" si="336"/>
        <v>154.742198</v>
      </c>
      <c r="W303" s="81">
        <f t="shared" si="337"/>
        <v>425.0456053</v>
      </c>
      <c r="X303" s="25">
        <f t="shared" si="338"/>
        <v>21.25228026</v>
      </c>
      <c r="Y303" s="81">
        <f t="shared" si="339"/>
        <v>446.2978855</v>
      </c>
    </row>
    <row r="304">
      <c r="A304" s="12"/>
      <c r="B304" s="80" t="s">
        <v>127</v>
      </c>
      <c r="C304" s="24">
        <v>31.0</v>
      </c>
      <c r="D304" s="22">
        <v>7.9667</v>
      </c>
      <c r="E304" s="23">
        <f t="shared" si="325"/>
        <v>0.3319458333</v>
      </c>
      <c r="F304" s="22">
        <f t="shared" si="326"/>
        <v>16.0333</v>
      </c>
      <c r="G304" s="23">
        <f t="shared" si="327"/>
        <v>0.6680541667</v>
      </c>
      <c r="H304" s="59">
        <v>0.01559005293</v>
      </c>
      <c r="I304" s="60">
        <f t="shared" si="328"/>
        <v>925.9262569</v>
      </c>
      <c r="J304" s="61">
        <f t="shared" si="329"/>
        <v>3.749179576</v>
      </c>
      <c r="K304" s="25">
        <v>5490.0</v>
      </c>
      <c r="L304" s="62">
        <f t="shared" si="330"/>
        <v>7.379032258</v>
      </c>
      <c r="M304" s="63">
        <f t="shared" si="331"/>
        <v>0.5080855382</v>
      </c>
      <c r="N304" s="63">
        <f t="shared" si="332"/>
        <v>0.8313431226</v>
      </c>
      <c r="O304" s="25">
        <f t="shared" si="333"/>
        <v>4564.073743</v>
      </c>
      <c r="P304" s="25">
        <f t="shared" si="334"/>
        <v>4564.073743</v>
      </c>
      <c r="Q304" s="64">
        <f>C304*'Rate Codes'!$D$7</f>
        <v>53.490035</v>
      </c>
      <c r="R304" s="25">
        <f>P304*'Rate Codes'!$D$8</f>
        <v>59.11844719</v>
      </c>
      <c r="S304" s="81">
        <f t="shared" si="335"/>
        <v>112.6084822</v>
      </c>
      <c r="T304" s="66">
        <f>P304*'Rate Codes'!$D$8</f>
        <v>59.11844719</v>
      </c>
      <c r="U304" s="67">
        <f>(O304)*'Billing Rate'!$B$1</f>
        <v>310.3570145</v>
      </c>
      <c r="V304" s="25">
        <f t="shared" si="336"/>
        <v>171.7269294</v>
      </c>
      <c r="W304" s="81">
        <f t="shared" si="337"/>
        <v>482.0839439</v>
      </c>
      <c r="X304" s="25">
        <f t="shared" si="338"/>
        <v>24.1041972</v>
      </c>
      <c r="Y304" s="81">
        <f t="shared" si="339"/>
        <v>506.1881411</v>
      </c>
    </row>
    <row r="305">
      <c r="A305" s="12"/>
      <c r="B305" s="77" t="s">
        <v>109</v>
      </c>
      <c r="C305" s="82"/>
      <c r="D305" s="83"/>
      <c r="E305" s="83"/>
      <c r="F305" s="83"/>
      <c r="G305" s="83"/>
      <c r="H305" s="83">
        <f t="shared" ref="H305:I305" si="340">SUM(H293:H304)</f>
        <v>1</v>
      </c>
      <c r="I305" s="84">
        <f t="shared" si="340"/>
        <v>59392.11759</v>
      </c>
      <c r="J305" s="84"/>
      <c r="K305" s="85">
        <f>SUM(K293:K304)</f>
        <v>66307</v>
      </c>
      <c r="L305" s="85"/>
      <c r="M305" s="85"/>
      <c r="N305" s="85"/>
      <c r="O305" s="85">
        <f t="shared" ref="O305:U305" si="341">SUM(O293:O304)</f>
        <v>6914.882409</v>
      </c>
      <c r="P305" s="48">
        <f t="shared" si="341"/>
        <v>34264.90111</v>
      </c>
      <c r="Q305" s="85">
        <f t="shared" si="341"/>
        <v>629.802025</v>
      </c>
      <c r="R305" s="85">
        <f t="shared" si="341"/>
        <v>443.8332641</v>
      </c>
      <c r="S305" s="85">
        <f t="shared" si="341"/>
        <v>1073.635289</v>
      </c>
      <c r="T305" s="85">
        <f t="shared" si="341"/>
        <v>443.8332641</v>
      </c>
      <c r="U305" s="85">
        <f t="shared" si="341"/>
        <v>470.2120038</v>
      </c>
      <c r="V305" s="48">
        <f t="shared" si="336"/>
        <v>1517.468553</v>
      </c>
      <c r="W305" s="85">
        <f t="shared" ref="W305:Y305" si="342">SUM(W293:W304)</f>
        <v>1987.680557</v>
      </c>
      <c r="X305" s="85">
        <f t="shared" si="342"/>
        <v>133.8805349</v>
      </c>
      <c r="Y305" s="85">
        <f t="shared" si="342"/>
        <v>2121.561092</v>
      </c>
    </row>
    <row r="307">
      <c r="A307" s="76">
        <v>19.0</v>
      </c>
      <c r="B307" s="12" t="s">
        <v>128</v>
      </c>
      <c r="C307" s="12"/>
      <c r="D307" s="15"/>
      <c r="E307" s="15"/>
      <c r="F307" s="15"/>
      <c r="G307" s="15"/>
      <c r="H307" s="15">
        <f>$H$1* POWER((1 -$O$1),A307)</f>
        <v>59095.157</v>
      </c>
      <c r="I307" s="1" t="s">
        <v>132</v>
      </c>
      <c r="J307" s="1"/>
      <c r="K307" s="8">
        <f>H307/K321</f>
        <v>0.8912355709</v>
      </c>
      <c r="L307" s="8"/>
      <c r="M307" s="8"/>
      <c r="N307" s="8"/>
      <c r="O307" s="1" t="s">
        <v>133</v>
      </c>
      <c r="P307" s="6">
        <f>1-K307</f>
        <v>0.1087644291</v>
      </c>
      <c r="Q307" s="12" t="s">
        <v>74</v>
      </c>
      <c r="T307" s="12" t="s">
        <v>78</v>
      </c>
      <c r="U307" s="12"/>
      <c r="V307" s="12"/>
      <c r="W307" s="12"/>
      <c r="X307" s="12"/>
      <c r="Y307" s="12"/>
    </row>
    <row r="308">
      <c r="A308" s="12"/>
      <c r="B308" s="77" t="s">
        <v>83</v>
      </c>
      <c r="C308" s="20" t="s">
        <v>88</v>
      </c>
      <c r="D308" s="20" t="s">
        <v>84</v>
      </c>
      <c r="E308" s="20" t="s">
        <v>85</v>
      </c>
      <c r="F308" s="20" t="s">
        <v>86</v>
      </c>
      <c r="G308" s="20" t="s">
        <v>87</v>
      </c>
      <c r="H308" s="20" t="s">
        <v>134</v>
      </c>
      <c r="I308" s="44" t="s">
        <v>135</v>
      </c>
      <c r="J308" s="53" t="s">
        <v>92</v>
      </c>
      <c r="K308" s="20" t="s">
        <v>89</v>
      </c>
      <c r="L308" s="53" t="s">
        <v>90</v>
      </c>
      <c r="M308" s="53" t="s">
        <v>136</v>
      </c>
      <c r="N308" s="53" t="s">
        <v>137</v>
      </c>
      <c r="O308" s="20" t="s">
        <v>138</v>
      </c>
      <c r="P308" s="20" t="s">
        <v>139</v>
      </c>
      <c r="Q308" s="78" t="s">
        <v>76</v>
      </c>
      <c r="R308" s="78" t="s">
        <v>82</v>
      </c>
      <c r="S308" s="78" t="s">
        <v>109</v>
      </c>
      <c r="T308" s="78" t="s">
        <v>80</v>
      </c>
      <c r="U308" s="78" t="s">
        <v>67</v>
      </c>
      <c r="V308" s="45" t="s">
        <v>114</v>
      </c>
      <c r="W308" s="79" t="s">
        <v>115</v>
      </c>
      <c r="X308" s="79" t="s">
        <v>60</v>
      </c>
      <c r="Y308" s="79" t="s">
        <v>109</v>
      </c>
    </row>
    <row r="309">
      <c r="A309" s="12"/>
      <c r="B309" s="80" t="s">
        <v>117</v>
      </c>
      <c r="C309" s="24">
        <v>31.0</v>
      </c>
      <c r="D309" s="22">
        <v>8.45</v>
      </c>
      <c r="E309" s="23">
        <f t="shared" ref="E309:E320" si="343">D309/24</f>
        <v>0.3520833333</v>
      </c>
      <c r="F309" s="22">
        <f t="shared" ref="F309:F320" si="344">24-D309</f>
        <v>15.55</v>
      </c>
      <c r="G309" s="23">
        <f t="shared" ref="G309:G320" si="345">F309/24</f>
        <v>0.6479166667</v>
      </c>
      <c r="H309" s="59">
        <v>0.02731296772</v>
      </c>
      <c r="I309" s="60">
        <f t="shared" ref="I309:I320" si="346">H$307*H309</f>
        <v>1614.064116</v>
      </c>
      <c r="J309" s="61">
        <f t="shared" ref="J309:J320" si="347">I309/C309/D309</f>
        <v>6.161725962</v>
      </c>
      <c r="K309" s="25">
        <v>5726.0</v>
      </c>
      <c r="L309" s="62">
        <f t="shared" ref="L309:L320" si="348">K309/C309/24</f>
        <v>7.696236559</v>
      </c>
      <c r="M309" s="63">
        <f t="shared" ref="M309:M320" si="349">IF((J309/L309)&gt;1,1,J309/L309)</f>
        <v>0.8006154585</v>
      </c>
      <c r="N309" s="63">
        <f t="shared" ref="N309:N320" si="350">1-E309*M309</f>
        <v>0.7181166407</v>
      </c>
      <c r="O309" s="25">
        <f t="shared" ref="O309:O320" si="351">K309-I309</f>
        <v>4111.935884</v>
      </c>
      <c r="P309" s="25">
        <f t="shared" ref="P309:P320" si="352">K309*N309</f>
        <v>4111.935884</v>
      </c>
      <c r="Q309" s="64">
        <f>C309*'Rate Codes'!$D$7</f>
        <v>53.490035</v>
      </c>
      <c r="R309" s="25">
        <f>P309*'Rate Codes'!$D$8</f>
        <v>53.26190551</v>
      </c>
      <c r="S309" s="81">
        <f t="shared" ref="S309:S320" si="353">SUM(Q309:R309)</f>
        <v>106.7519405</v>
      </c>
      <c r="T309" s="66">
        <f>P309*'Rate Codes'!$D$8</f>
        <v>53.26190551</v>
      </c>
      <c r="U309" s="67">
        <f>(O309)*'Billing Rate'!$B$1</f>
        <v>279.6116401</v>
      </c>
      <c r="V309" s="25">
        <f t="shared" ref="V309:V321" si="354">S309+T309</f>
        <v>160.013846</v>
      </c>
      <c r="W309" s="81">
        <f t="shared" ref="W309:W320" si="355">U309+S309+T309</f>
        <v>439.6254862</v>
      </c>
      <c r="X309" s="25">
        <f t="shared" ref="X309:X320" si="356">(IF(U309&gt;0,U309,0)+V309)*0.05</f>
        <v>21.98127431</v>
      </c>
      <c r="Y309" s="81">
        <f t="shared" ref="Y309:Y320" si="357">W309+X309</f>
        <v>461.6067605</v>
      </c>
    </row>
    <row r="310">
      <c r="A310" s="12"/>
      <c r="B310" s="80" t="s">
        <v>118</v>
      </c>
      <c r="C310" s="24">
        <v>28.0</v>
      </c>
      <c r="D310" s="22">
        <v>9.9167</v>
      </c>
      <c r="E310" s="23">
        <f t="shared" si="343"/>
        <v>0.4131958333</v>
      </c>
      <c r="F310" s="22">
        <f t="shared" si="344"/>
        <v>14.0833</v>
      </c>
      <c r="G310" s="23">
        <f t="shared" si="345"/>
        <v>0.5868041667</v>
      </c>
      <c r="H310" s="59">
        <v>0.04620731865</v>
      </c>
      <c r="I310" s="60">
        <f t="shared" si="346"/>
        <v>2730.62875</v>
      </c>
      <c r="J310" s="61">
        <f t="shared" si="347"/>
        <v>9.834164124</v>
      </c>
      <c r="K310" s="25">
        <v>5279.0</v>
      </c>
      <c r="L310" s="62">
        <f t="shared" si="348"/>
        <v>7.855654762</v>
      </c>
      <c r="M310" s="63">
        <f t="shared" si="349"/>
        <v>1</v>
      </c>
      <c r="N310" s="63">
        <f t="shared" si="350"/>
        <v>0.5868041667</v>
      </c>
      <c r="O310" s="25">
        <f t="shared" si="351"/>
        <v>2548.37125</v>
      </c>
      <c r="P310" s="25">
        <f t="shared" si="352"/>
        <v>3097.739196</v>
      </c>
      <c r="Q310" s="64">
        <f>C310*'Rate Codes'!$D$7</f>
        <v>48.31358</v>
      </c>
      <c r="R310" s="25">
        <f>P310*'Rate Codes'!$D$8</f>
        <v>40.1250158</v>
      </c>
      <c r="S310" s="81">
        <f t="shared" si="353"/>
        <v>88.4385958</v>
      </c>
      <c r="T310" s="66">
        <f>P310*'Rate Codes'!$D$8</f>
        <v>40.1250158</v>
      </c>
      <c r="U310" s="67">
        <f>(O310)*'Billing Rate'!$B$1</f>
        <v>173.289245</v>
      </c>
      <c r="V310" s="25">
        <f t="shared" si="354"/>
        <v>128.5636116</v>
      </c>
      <c r="W310" s="81">
        <f t="shared" si="355"/>
        <v>301.8528566</v>
      </c>
      <c r="X310" s="25">
        <f t="shared" si="356"/>
        <v>15.09264283</v>
      </c>
      <c r="Y310" s="81">
        <f t="shared" si="357"/>
        <v>316.9454994</v>
      </c>
    </row>
    <row r="311">
      <c r="A311" s="12"/>
      <c r="B311" s="80" t="s">
        <v>119</v>
      </c>
      <c r="C311" s="24">
        <v>31.0</v>
      </c>
      <c r="D311" s="22">
        <v>11.8</v>
      </c>
      <c r="E311" s="23">
        <f t="shared" si="343"/>
        <v>0.4916666667</v>
      </c>
      <c r="F311" s="22">
        <f t="shared" si="344"/>
        <v>12.2</v>
      </c>
      <c r="G311" s="23">
        <f t="shared" si="345"/>
        <v>0.5083333333</v>
      </c>
      <c r="H311" s="59">
        <v>0.08500831624</v>
      </c>
      <c r="I311" s="60">
        <f t="shared" si="346"/>
        <v>5023.579795</v>
      </c>
      <c r="J311" s="61">
        <f t="shared" si="347"/>
        <v>13.7331323</v>
      </c>
      <c r="K311" s="25">
        <v>4991.0</v>
      </c>
      <c r="L311" s="62">
        <f t="shared" si="348"/>
        <v>6.708333333</v>
      </c>
      <c r="M311" s="63">
        <f t="shared" si="349"/>
        <v>1</v>
      </c>
      <c r="N311" s="63">
        <f t="shared" si="350"/>
        <v>0.5083333333</v>
      </c>
      <c r="O311" s="25">
        <f t="shared" si="351"/>
        <v>-32.57979475</v>
      </c>
      <c r="P311" s="25">
        <f t="shared" si="352"/>
        <v>2537.091667</v>
      </c>
      <c r="Q311" s="64">
        <f>C311*'Rate Codes'!$D$7</f>
        <v>53.490035</v>
      </c>
      <c r="R311" s="25">
        <f>P311*'Rate Codes'!$D$8</f>
        <v>32.86294836</v>
      </c>
      <c r="S311" s="81">
        <f t="shared" si="353"/>
        <v>86.35298336</v>
      </c>
      <c r="T311" s="66">
        <f>P311*'Rate Codes'!$D$8</f>
        <v>32.86294836</v>
      </c>
      <c r="U311" s="67">
        <f>(O311)*'Billing Rate'!$B$1</f>
        <v>-2.215426043</v>
      </c>
      <c r="V311" s="25">
        <f t="shared" si="354"/>
        <v>119.2159317</v>
      </c>
      <c r="W311" s="81">
        <f t="shared" si="355"/>
        <v>117.0005057</v>
      </c>
      <c r="X311" s="25">
        <f t="shared" si="356"/>
        <v>5.960796586</v>
      </c>
      <c r="Y311" s="81">
        <f t="shared" si="357"/>
        <v>122.9613023</v>
      </c>
    </row>
    <row r="312">
      <c r="A312" s="12"/>
      <c r="B312" s="80" t="s">
        <v>120</v>
      </c>
      <c r="C312" s="24">
        <v>30.0</v>
      </c>
      <c r="D312" s="22">
        <v>13.8</v>
      </c>
      <c r="E312" s="23">
        <f t="shared" si="343"/>
        <v>0.575</v>
      </c>
      <c r="F312" s="22">
        <f t="shared" si="344"/>
        <v>10.2</v>
      </c>
      <c r="G312" s="23">
        <f t="shared" si="345"/>
        <v>0.425</v>
      </c>
      <c r="H312" s="59">
        <v>0.108773175</v>
      </c>
      <c r="I312" s="60">
        <f t="shared" si="346"/>
        <v>6427.967854</v>
      </c>
      <c r="J312" s="61">
        <f t="shared" si="347"/>
        <v>15.5264924</v>
      </c>
      <c r="K312" s="25">
        <v>4952.0</v>
      </c>
      <c r="L312" s="62">
        <f t="shared" si="348"/>
        <v>6.877777778</v>
      </c>
      <c r="M312" s="63">
        <f t="shared" si="349"/>
        <v>1</v>
      </c>
      <c r="N312" s="63">
        <f t="shared" si="350"/>
        <v>0.425</v>
      </c>
      <c r="O312" s="25">
        <f t="shared" si="351"/>
        <v>-1475.967854</v>
      </c>
      <c r="P312" s="25">
        <f t="shared" si="352"/>
        <v>2104.6</v>
      </c>
      <c r="Q312" s="64">
        <f>C312*'Rate Codes'!$D$7</f>
        <v>51.76455</v>
      </c>
      <c r="R312" s="25">
        <f>P312*'Rate Codes'!$D$8</f>
        <v>27.2608838</v>
      </c>
      <c r="S312" s="81">
        <f t="shared" si="353"/>
        <v>79.0254338</v>
      </c>
      <c r="T312" s="66">
        <f>P312*'Rate Codes'!$D$8</f>
        <v>27.2608838</v>
      </c>
      <c r="U312" s="67">
        <f>(O312)*'Billing Rate'!$B$1</f>
        <v>-100.3658141</v>
      </c>
      <c r="V312" s="25">
        <f t="shared" si="354"/>
        <v>106.2863176</v>
      </c>
      <c r="W312" s="81">
        <f t="shared" si="355"/>
        <v>5.920503506</v>
      </c>
      <c r="X312" s="25">
        <f t="shared" si="356"/>
        <v>5.31431588</v>
      </c>
      <c r="Y312" s="81">
        <f t="shared" si="357"/>
        <v>11.23481939</v>
      </c>
    </row>
    <row r="313">
      <c r="A313" s="12"/>
      <c r="B313" s="80" t="s">
        <v>98</v>
      </c>
      <c r="C313" s="24">
        <v>31.0</v>
      </c>
      <c r="D313" s="22">
        <v>15.5333</v>
      </c>
      <c r="E313" s="23">
        <f t="shared" si="343"/>
        <v>0.6472208333</v>
      </c>
      <c r="F313" s="22">
        <f t="shared" si="344"/>
        <v>8.4667</v>
      </c>
      <c r="G313" s="23">
        <f t="shared" si="345"/>
        <v>0.3527791667</v>
      </c>
      <c r="H313" s="59">
        <v>0.1281742617</v>
      </c>
      <c r="I313" s="60">
        <f t="shared" si="346"/>
        <v>7574.478119</v>
      </c>
      <c r="J313" s="61">
        <f t="shared" si="347"/>
        <v>15.72994817</v>
      </c>
      <c r="K313" s="25">
        <v>5559.0</v>
      </c>
      <c r="L313" s="62">
        <f t="shared" si="348"/>
        <v>7.471774194</v>
      </c>
      <c r="M313" s="63">
        <f t="shared" si="349"/>
        <v>1</v>
      </c>
      <c r="N313" s="63">
        <f t="shared" si="350"/>
        <v>0.3527791667</v>
      </c>
      <c r="O313" s="25">
        <f t="shared" si="351"/>
        <v>-2015.478119</v>
      </c>
      <c r="P313" s="25">
        <f t="shared" si="352"/>
        <v>1961.099388</v>
      </c>
      <c r="Q313" s="64">
        <f>C313*'Rate Codes'!$D$7</f>
        <v>53.490035</v>
      </c>
      <c r="R313" s="25">
        <f>P313*'Rate Codes'!$D$8</f>
        <v>25.40212037</v>
      </c>
      <c r="S313" s="81">
        <f t="shared" si="353"/>
        <v>78.89215537</v>
      </c>
      <c r="T313" s="66">
        <f>P313*'Rate Codes'!$D$8</f>
        <v>25.40212037</v>
      </c>
      <c r="U313" s="67">
        <f>(O313)*'Billing Rate'!$B$1</f>
        <v>-137.0525121</v>
      </c>
      <c r="V313" s="25">
        <f t="shared" si="354"/>
        <v>104.2942757</v>
      </c>
      <c r="W313" s="81">
        <f t="shared" si="355"/>
        <v>-32.75823635</v>
      </c>
      <c r="X313" s="25">
        <f t="shared" si="356"/>
        <v>5.214713787</v>
      </c>
      <c r="Y313" s="81">
        <f t="shared" si="357"/>
        <v>-27.54352257</v>
      </c>
    </row>
    <row r="314">
      <c r="A314" s="12"/>
      <c r="B314" s="80" t="s">
        <v>121</v>
      </c>
      <c r="C314" s="24">
        <v>30.0</v>
      </c>
      <c r="D314" s="22">
        <v>16.4667</v>
      </c>
      <c r="E314" s="23">
        <f t="shared" si="343"/>
        <v>0.6861125</v>
      </c>
      <c r="F314" s="22">
        <f t="shared" si="344"/>
        <v>7.5333</v>
      </c>
      <c r="G314" s="23">
        <f t="shared" si="345"/>
        <v>0.3138875</v>
      </c>
      <c r="H314" s="59">
        <v>0.1254860808</v>
      </c>
      <c r="I314" s="60">
        <f t="shared" si="346"/>
        <v>7415.619647</v>
      </c>
      <c r="J314" s="61">
        <f t="shared" si="347"/>
        <v>15.01134542</v>
      </c>
      <c r="K314" s="25">
        <v>4964.0</v>
      </c>
      <c r="L314" s="62">
        <f t="shared" si="348"/>
        <v>6.894444444</v>
      </c>
      <c r="M314" s="63">
        <f t="shared" si="349"/>
        <v>1</v>
      </c>
      <c r="N314" s="63">
        <f t="shared" si="350"/>
        <v>0.3138875</v>
      </c>
      <c r="O314" s="25">
        <f t="shared" si="351"/>
        <v>-2451.619647</v>
      </c>
      <c r="P314" s="25">
        <f t="shared" si="352"/>
        <v>1558.13755</v>
      </c>
      <c r="Q314" s="64">
        <f>C314*'Rate Codes'!$D$7</f>
        <v>51.76455</v>
      </c>
      <c r="R314" s="25">
        <f>P314*'Rate Codes'!$D$8</f>
        <v>20.18255569</v>
      </c>
      <c r="S314" s="81">
        <f t="shared" si="353"/>
        <v>71.94710569</v>
      </c>
      <c r="T314" s="66">
        <f>P314*'Rate Codes'!$D$8</f>
        <v>20.18255569</v>
      </c>
      <c r="U314" s="67">
        <f>(O314)*'Billing Rate'!$B$1</f>
        <v>-166.710136</v>
      </c>
      <c r="V314" s="25">
        <f t="shared" si="354"/>
        <v>92.12966137</v>
      </c>
      <c r="W314" s="81">
        <f t="shared" si="355"/>
        <v>-74.5804746</v>
      </c>
      <c r="X314" s="25">
        <f t="shared" si="356"/>
        <v>4.606483069</v>
      </c>
      <c r="Y314" s="81">
        <f t="shared" si="357"/>
        <v>-69.97399153</v>
      </c>
    </row>
    <row r="315">
      <c r="A315" s="12"/>
      <c r="B315" s="80" t="s">
        <v>122</v>
      </c>
      <c r="C315" s="24">
        <v>31.0</v>
      </c>
      <c r="D315" s="22">
        <v>16.05</v>
      </c>
      <c r="E315" s="23">
        <f t="shared" si="343"/>
        <v>0.66875</v>
      </c>
      <c r="F315" s="22">
        <f t="shared" si="344"/>
        <v>7.95</v>
      </c>
      <c r="G315" s="23">
        <f t="shared" si="345"/>
        <v>0.33125</v>
      </c>
      <c r="H315" s="59">
        <v>0.1449493112</v>
      </c>
      <c r="I315" s="60">
        <f t="shared" si="346"/>
        <v>8565.802303</v>
      </c>
      <c r="J315" s="61">
        <f t="shared" si="347"/>
        <v>17.21596282</v>
      </c>
      <c r="K315" s="25">
        <v>6634.0</v>
      </c>
      <c r="L315" s="62">
        <f t="shared" si="348"/>
        <v>8.916666667</v>
      </c>
      <c r="M315" s="63">
        <f t="shared" si="349"/>
        <v>1</v>
      </c>
      <c r="N315" s="63">
        <f t="shared" si="350"/>
        <v>0.33125</v>
      </c>
      <c r="O315" s="25">
        <f t="shared" si="351"/>
        <v>-1931.802303</v>
      </c>
      <c r="P315" s="25">
        <f t="shared" si="352"/>
        <v>2197.5125</v>
      </c>
      <c r="Q315" s="64">
        <f>C315*'Rate Codes'!$D$7</f>
        <v>53.490035</v>
      </c>
      <c r="R315" s="25">
        <f>P315*'Rate Codes'!$D$8</f>
        <v>28.46437941</v>
      </c>
      <c r="S315" s="81">
        <f t="shared" si="353"/>
        <v>81.95441441</v>
      </c>
      <c r="T315" s="66">
        <f>P315*'Rate Codes'!$D$8</f>
        <v>28.46437941</v>
      </c>
      <c r="U315" s="67">
        <f>(O315)*'Billing Rate'!$B$1</f>
        <v>-131.3625566</v>
      </c>
      <c r="V315" s="25">
        <f t="shared" si="354"/>
        <v>110.4187938</v>
      </c>
      <c r="W315" s="81">
        <f t="shared" si="355"/>
        <v>-20.94376277</v>
      </c>
      <c r="X315" s="25">
        <f t="shared" si="356"/>
        <v>5.520939691</v>
      </c>
      <c r="Y315" s="81">
        <f t="shared" si="357"/>
        <v>-15.42282308</v>
      </c>
    </row>
    <row r="316">
      <c r="A316" s="12"/>
      <c r="B316" s="80" t="s">
        <v>123</v>
      </c>
      <c r="C316" s="24">
        <v>31.0</v>
      </c>
      <c r="D316" s="22">
        <v>14.5167</v>
      </c>
      <c r="E316" s="23">
        <f t="shared" si="343"/>
        <v>0.6048625</v>
      </c>
      <c r="F316" s="22">
        <f t="shared" si="344"/>
        <v>9.4833</v>
      </c>
      <c r="G316" s="23">
        <f t="shared" si="345"/>
        <v>0.3951375</v>
      </c>
      <c r="H316" s="59">
        <v>0.1246952409</v>
      </c>
      <c r="I316" s="60">
        <f t="shared" si="346"/>
        <v>7368.884838</v>
      </c>
      <c r="J316" s="61">
        <f t="shared" si="347"/>
        <v>16.37465557</v>
      </c>
      <c r="K316" s="25">
        <v>5909.0</v>
      </c>
      <c r="L316" s="62">
        <f t="shared" si="348"/>
        <v>7.942204301</v>
      </c>
      <c r="M316" s="63">
        <f t="shared" si="349"/>
        <v>1</v>
      </c>
      <c r="N316" s="63">
        <f t="shared" si="350"/>
        <v>0.3951375</v>
      </c>
      <c r="O316" s="25">
        <f t="shared" si="351"/>
        <v>-1459.884838</v>
      </c>
      <c r="P316" s="25">
        <f t="shared" si="352"/>
        <v>2334.867488</v>
      </c>
      <c r="Q316" s="64">
        <f>C316*'Rate Codes'!$D$7</f>
        <v>53.490035</v>
      </c>
      <c r="R316" s="25">
        <f>P316*'Rate Codes'!$D$8</f>
        <v>30.24353857</v>
      </c>
      <c r="S316" s="81">
        <f t="shared" si="353"/>
        <v>83.73357357</v>
      </c>
      <c r="T316" s="66">
        <f>P316*'Rate Codes'!$D$8</f>
        <v>30.24353857</v>
      </c>
      <c r="U316" s="67">
        <f>(O316)*'Billing Rate'!$B$1</f>
        <v>-99.27216902</v>
      </c>
      <c r="V316" s="25">
        <f t="shared" si="354"/>
        <v>113.9771121</v>
      </c>
      <c r="W316" s="81">
        <f t="shared" si="355"/>
        <v>14.70494311</v>
      </c>
      <c r="X316" s="25">
        <f t="shared" si="356"/>
        <v>5.698855607</v>
      </c>
      <c r="Y316" s="81">
        <f t="shared" si="357"/>
        <v>20.40379872</v>
      </c>
    </row>
    <row r="317">
      <c r="A317" s="12"/>
      <c r="B317" s="80" t="s">
        <v>124</v>
      </c>
      <c r="C317" s="24">
        <v>30.0</v>
      </c>
      <c r="D317" s="22">
        <v>12.5833</v>
      </c>
      <c r="E317" s="23">
        <f t="shared" si="343"/>
        <v>0.5243041667</v>
      </c>
      <c r="F317" s="22">
        <f t="shared" si="344"/>
        <v>11.4167</v>
      </c>
      <c r="G317" s="23">
        <f t="shared" si="345"/>
        <v>0.4756958333</v>
      </c>
      <c r="H317" s="59">
        <v>0.09825803101</v>
      </c>
      <c r="I317" s="60">
        <f t="shared" si="346"/>
        <v>5806.573769</v>
      </c>
      <c r="J317" s="61">
        <f t="shared" si="347"/>
        <v>15.38169312</v>
      </c>
      <c r="K317" s="25">
        <v>5270.0</v>
      </c>
      <c r="L317" s="62">
        <f t="shared" si="348"/>
        <v>7.319444444</v>
      </c>
      <c r="M317" s="63">
        <f t="shared" si="349"/>
        <v>1</v>
      </c>
      <c r="N317" s="63">
        <f t="shared" si="350"/>
        <v>0.4756958333</v>
      </c>
      <c r="O317" s="25">
        <f t="shared" si="351"/>
        <v>-536.5737693</v>
      </c>
      <c r="P317" s="25">
        <f t="shared" si="352"/>
        <v>2506.917042</v>
      </c>
      <c r="Q317" s="64">
        <f>C317*'Rate Codes'!$D$7</f>
        <v>51.76455</v>
      </c>
      <c r="R317" s="25">
        <f>P317*'Rate Codes'!$D$8</f>
        <v>32.47209644</v>
      </c>
      <c r="S317" s="81">
        <f t="shared" si="353"/>
        <v>84.23664644</v>
      </c>
      <c r="T317" s="66">
        <f>P317*'Rate Codes'!$D$8</f>
        <v>32.47209644</v>
      </c>
      <c r="U317" s="67">
        <f>(O317)*'Billing Rate'!$B$1</f>
        <v>-36.48701631</v>
      </c>
      <c r="V317" s="25">
        <f t="shared" si="354"/>
        <v>116.7087429</v>
      </c>
      <c r="W317" s="81">
        <f t="shared" si="355"/>
        <v>80.22172657</v>
      </c>
      <c r="X317" s="25">
        <f t="shared" si="356"/>
        <v>5.835437144</v>
      </c>
      <c r="Y317" s="81">
        <f t="shared" si="357"/>
        <v>86.05716371</v>
      </c>
    </row>
    <row r="318">
      <c r="A318" s="12"/>
      <c r="B318" s="80" t="s">
        <v>125</v>
      </c>
      <c r="C318" s="24">
        <v>31.0</v>
      </c>
      <c r="D318" s="22">
        <v>10.5833</v>
      </c>
      <c r="E318" s="23">
        <f t="shared" si="343"/>
        <v>0.4409708333</v>
      </c>
      <c r="F318" s="22">
        <f t="shared" si="344"/>
        <v>13.4167</v>
      </c>
      <c r="G318" s="23">
        <f t="shared" si="345"/>
        <v>0.5590291667</v>
      </c>
      <c r="H318" s="59">
        <v>0.06840443866</v>
      </c>
      <c r="I318" s="60">
        <f t="shared" si="346"/>
        <v>4042.371042</v>
      </c>
      <c r="J318" s="61">
        <f t="shared" si="347"/>
        <v>12.32121039</v>
      </c>
      <c r="K318" s="25">
        <v>5946.0</v>
      </c>
      <c r="L318" s="62">
        <f t="shared" si="348"/>
        <v>7.991935484</v>
      </c>
      <c r="M318" s="63">
        <f t="shared" si="349"/>
        <v>1</v>
      </c>
      <c r="N318" s="63">
        <f t="shared" si="350"/>
        <v>0.5590291667</v>
      </c>
      <c r="O318" s="25">
        <f t="shared" si="351"/>
        <v>1903.628958</v>
      </c>
      <c r="P318" s="25">
        <f t="shared" si="352"/>
        <v>3323.987425</v>
      </c>
      <c r="Q318" s="64">
        <f>C318*'Rate Codes'!$D$7</f>
        <v>53.490035</v>
      </c>
      <c r="R318" s="25">
        <f>P318*'Rate Codes'!$D$8</f>
        <v>43.05560912</v>
      </c>
      <c r="S318" s="81">
        <f t="shared" si="353"/>
        <v>96.54564412</v>
      </c>
      <c r="T318" s="66">
        <f>P318*'Rate Codes'!$D$8</f>
        <v>43.05560912</v>
      </c>
      <c r="U318" s="67">
        <f>(O318)*'Billing Rate'!$B$1</f>
        <v>129.4467691</v>
      </c>
      <c r="V318" s="25">
        <f t="shared" si="354"/>
        <v>139.6012532</v>
      </c>
      <c r="W318" s="81">
        <f t="shared" si="355"/>
        <v>269.0480224</v>
      </c>
      <c r="X318" s="25">
        <f t="shared" si="356"/>
        <v>13.45240112</v>
      </c>
      <c r="Y318" s="81">
        <f t="shared" si="357"/>
        <v>282.5004235</v>
      </c>
    </row>
    <row r="319">
      <c r="A319" s="12"/>
      <c r="B319" s="80" t="s">
        <v>126</v>
      </c>
      <c r="C319" s="24">
        <v>30.0</v>
      </c>
      <c r="D319" s="22">
        <v>8.85</v>
      </c>
      <c r="E319" s="23">
        <f t="shared" si="343"/>
        <v>0.36875</v>
      </c>
      <c r="F319" s="22">
        <f t="shared" si="344"/>
        <v>15.15</v>
      </c>
      <c r="G319" s="23">
        <f t="shared" si="345"/>
        <v>0.63125</v>
      </c>
      <c r="H319" s="59">
        <v>0.0271408052</v>
      </c>
      <c r="I319" s="60">
        <f t="shared" si="346"/>
        <v>1603.890144</v>
      </c>
      <c r="J319" s="61">
        <f t="shared" si="347"/>
        <v>6.041017493</v>
      </c>
      <c r="K319" s="25">
        <v>5587.0</v>
      </c>
      <c r="L319" s="62">
        <f t="shared" si="348"/>
        <v>7.759722222</v>
      </c>
      <c r="M319" s="63">
        <f t="shared" si="349"/>
        <v>0.7785095033</v>
      </c>
      <c r="N319" s="63">
        <f t="shared" si="350"/>
        <v>0.7129246206</v>
      </c>
      <c r="O319" s="25">
        <f t="shared" si="351"/>
        <v>3983.109856</v>
      </c>
      <c r="P319" s="25">
        <f t="shared" si="352"/>
        <v>3983.109856</v>
      </c>
      <c r="Q319" s="64">
        <f>C319*'Rate Codes'!$D$7</f>
        <v>51.76455</v>
      </c>
      <c r="R319" s="25">
        <f>P319*'Rate Codes'!$D$8</f>
        <v>51.59322196</v>
      </c>
      <c r="S319" s="81">
        <f t="shared" si="353"/>
        <v>103.357772</v>
      </c>
      <c r="T319" s="66">
        <f>P319*'Rate Codes'!$D$8</f>
        <v>51.59322196</v>
      </c>
      <c r="U319" s="67">
        <f>(O319)*'Billing Rate'!$B$1</f>
        <v>270.8514702</v>
      </c>
      <c r="V319" s="25">
        <f t="shared" si="354"/>
        <v>154.9509939</v>
      </c>
      <c r="W319" s="81">
        <f t="shared" si="355"/>
        <v>425.8024641</v>
      </c>
      <c r="X319" s="25">
        <f t="shared" si="356"/>
        <v>21.2901232</v>
      </c>
      <c r="Y319" s="81">
        <f t="shared" si="357"/>
        <v>447.0925873</v>
      </c>
    </row>
    <row r="320">
      <c r="A320" s="12"/>
      <c r="B320" s="80" t="s">
        <v>127</v>
      </c>
      <c r="C320" s="24">
        <v>31.0</v>
      </c>
      <c r="D320" s="22">
        <v>7.9667</v>
      </c>
      <c r="E320" s="23">
        <f t="shared" si="343"/>
        <v>0.3319458333</v>
      </c>
      <c r="F320" s="22">
        <f t="shared" si="344"/>
        <v>16.0333</v>
      </c>
      <c r="G320" s="23">
        <f t="shared" si="345"/>
        <v>0.6680541667</v>
      </c>
      <c r="H320" s="59">
        <v>0.01559005293</v>
      </c>
      <c r="I320" s="60">
        <f t="shared" si="346"/>
        <v>921.2966256</v>
      </c>
      <c r="J320" s="61">
        <f t="shared" si="347"/>
        <v>3.730433678</v>
      </c>
      <c r="K320" s="25">
        <v>5490.0</v>
      </c>
      <c r="L320" s="62">
        <f t="shared" si="348"/>
        <v>7.379032258</v>
      </c>
      <c r="M320" s="63">
        <f t="shared" si="349"/>
        <v>0.5055451105</v>
      </c>
      <c r="N320" s="63">
        <f t="shared" si="350"/>
        <v>0.832186407</v>
      </c>
      <c r="O320" s="25">
        <f t="shared" si="351"/>
        <v>4568.703374</v>
      </c>
      <c r="P320" s="25">
        <f t="shared" si="352"/>
        <v>4568.703374</v>
      </c>
      <c r="Q320" s="64">
        <f>C320*'Rate Codes'!$D$7</f>
        <v>53.490035</v>
      </c>
      <c r="R320" s="25">
        <f>P320*'Rate Codes'!$D$8</f>
        <v>59.17841481</v>
      </c>
      <c r="S320" s="81">
        <f t="shared" si="353"/>
        <v>112.6684498</v>
      </c>
      <c r="T320" s="66">
        <f>P320*'Rate Codes'!$D$8</f>
        <v>59.17841481</v>
      </c>
      <c r="U320" s="67">
        <f>(O320)*'Billing Rate'!$B$1</f>
        <v>310.6718295</v>
      </c>
      <c r="V320" s="25">
        <f t="shared" si="354"/>
        <v>171.8468646</v>
      </c>
      <c r="W320" s="81">
        <f t="shared" si="355"/>
        <v>482.5186941</v>
      </c>
      <c r="X320" s="25">
        <f t="shared" si="356"/>
        <v>24.1259347</v>
      </c>
      <c r="Y320" s="81">
        <f t="shared" si="357"/>
        <v>506.6446288</v>
      </c>
    </row>
    <row r="321">
      <c r="A321" s="12"/>
      <c r="B321" s="77" t="s">
        <v>109</v>
      </c>
      <c r="C321" s="82"/>
      <c r="D321" s="83"/>
      <c r="E321" s="83"/>
      <c r="F321" s="83"/>
      <c r="G321" s="83"/>
      <c r="H321" s="83">
        <f t="shared" ref="H321:I321" si="358">SUM(H309:H320)</f>
        <v>1</v>
      </c>
      <c r="I321" s="84">
        <f t="shared" si="358"/>
        <v>59095.157</v>
      </c>
      <c r="J321" s="84"/>
      <c r="K321" s="85">
        <f>SUM(K309:K320)</f>
        <v>66307</v>
      </c>
      <c r="L321" s="85"/>
      <c r="M321" s="85"/>
      <c r="N321" s="85"/>
      <c r="O321" s="85">
        <f t="shared" ref="O321:U321" si="359">SUM(O309:O320)</f>
        <v>7211.842997</v>
      </c>
      <c r="P321" s="48">
        <f t="shared" si="359"/>
        <v>34285.70137</v>
      </c>
      <c r="Q321" s="85">
        <f t="shared" si="359"/>
        <v>629.802025</v>
      </c>
      <c r="R321" s="85">
        <f t="shared" si="359"/>
        <v>444.1026898</v>
      </c>
      <c r="S321" s="85">
        <f t="shared" si="359"/>
        <v>1073.904715</v>
      </c>
      <c r="T321" s="85">
        <f t="shared" si="359"/>
        <v>444.1026898</v>
      </c>
      <c r="U321" s="85">
        <f t="shared" si="359"/>
        <v>490.4053238</v>
      </c>
      <c r="V321" s="48">
        <f t="shared" si="354"/>
        <v>1518.007405</v>
      </c>
      <c r="W321" s="85">
        <f t="shared" ref="W321:Y321" si="360">SUM(W309:W320)</f>
        <v>2008.412728</v>
      </c>
      <c r="X321" s="85">
        <f t="shared" si="360"/>
        <v>134.0939179</v>
      </c>
      <c r="Y321" s="85">
        <f t="shared" si="360"/>
        <v>2142.506646</v>
      </c>
    </row>
    <row r="323">
      <c r="A323" s="76">
        <v>20.0</v>
      </c>
      <c r="B323" s="12" t="s">
        <v>128</v>
      </c>
      <c r="C323" s="12"/>
      <c r="D323" s="15"/>
      <c r="E323" s="15"/>
      <c r="F323" s="15"/>
      <c r="G323" s="15"/>
      <c r="H323" s="15">
        <f>$H$1* POWER((1 -$O$1),A323)</f>
        <v>58799.68122</v>
      </c>
      <c r="I323" s="1" t="s">
        <v>132</v>
      </c>
      <c r="J323" s="1"/>
      <c r="K323" s="8">
        <f>H323/K337</f>
        <v>0.8867793931</v>
      </c>
      <c r="L323" s="8"/>
      <c r="M323" s="8"/>
      <c r="N323" s="8"/>
      <c r="O323" s="1" t="s">
        <v>133</v>
      </c>
      <c r="P323" s="6">
        <f>1-K323</f>
        <v>0.1132206069</v>
      </c>
      <c r="Q323" s="12" t="s">
        <v>74</v>
      </c>
      <c r="T323" s="12" t="s">
        <v>78</v>
      </c>
      <c r="U323" s="12"/>
      <c r="V323" s="12"/>
      <c r="W323" s="12"/>
      <c r="X323" s="12"/>
      <c r="Y323" s="12"/>
    </row>
    <row r="324">
      <c r="A324" s="12"/>
      <c r="B324" s="77" t="s">
        <v>83</v>
      </c>
      <c r="C324" s="20" t="s">
        <v>88</v>
      </c>
      <c r="D324" s="20" t="s">
        <v>84</v>
      </c>
      <c r="E324" s="20" t="s">
        <v>85</v>
      </c>
      <c r="F324" s="20" t="s">
        <v>86</v>
      </c>
      <c r="G324" s="20" t="s">
        <v>87</v>
      </c>
      <c r="H324" s="20" t="s">
        <v>134</v>
      </c>
      <c r="I324" s="44" t="s">
        <v>135</v>
      </c>
      <c r="J324" s="53" t="s">
        <v>92</v>
      </c>
      <c r="K324" s="20" t="s">
        <v>89</v>
      </c>
      <c r="L324" s="53" t="s">
        <v>90</v>
      </c>
      <c r="M324" s="53" t="s">
        <v>136</v>
      </c>
      <c r="N324" s="53" t="s">
        <v>137</v>
      </c>
      <c r="O324" s="20" t="s">
        <v>138</v>
      </c>
      <c r="P324" s="20" t="s">
        <v>139</v>
      </c>
      <c r="Q324" s="78" t="s">
        <v>76</v>
      </c>
      <c r="R324" s="78" t="s">
        <v>82</v>
      </c>
      <c r="S324" s="78" t="s">
        <v>109</v>
      </c>
      <c r="T324" s="78" t="s">
        <v>80</v>
      </c>
      <c r="U324" s="78" t="s">
        <v>67</v>
      </c>
      <c r="V324" s="45" t="s">
        <v>114</v>
      </c>
      <c r="W324" s="79" t="s">
        <v>115</v>
      </c>
      <c r="X324" s="79" t="s">
        <v>60</v>
      </c>
      <c r="Y324" s="79" t="s">
        <v>109</v>
      </c>
    </row>
    <row r="325">
      <c r="A325" s="12"/>
      <c r="B325" s="80" t="s">
        <v>117</v>
      </c>
      <c r="C325" s="24">
        <v>31.0</v>
      </c>
      <c r="D325" s="22">
        <v>8.45</v>
      </c>
      <c r="E325" s="23">
        <f t="shared" ref="E325:E336" si="361">D325/24</f>
        <v>0.3520833333</v>
      </c>
      <c r="F325" s="22">
        <f t="shared" ref="F325:F336" si="362">24-D325</f>
        <v>15.55</v>
      </c>
      <c r="G325" s="23">
        <f t="shared" ref="G325:G336" si="363">F325/24</f>
        <v>0.6479166667</v>
      </c>
      <c r="H325" s="59">
        <v>0.02731296772</v>
      </c>
      <c r="I325" s="60">
        <f t="shared" ref="I325:I336" si="364">H$323*H325</f>
        <v>1605.993795</v>
      </c>
      <c r="J325" s="61">
        <f t="shared" ref="J325:J336" si="365">I325/C325/D325</f>
        <v>6.130917332</v>
      </c>
      <c r="K325" s="25">
        <v>5726.0</v>
      </c>
      <c r="L325" s="62">
        <f t="shared" ref="L325:L336" si="366">K325/C325/24</f>
        <v>7.696236559</v>
      </c>
      <c r="M325" s="63">
        <f t="shared" ref="M325:M336" si="367">IF((J325/L325)&gt;1,1,J325/L325)</f>
        <v>0.7966123812</v>
      </c>
      <c r="N325" s="63">
        <f t="shared" ref="N325:N336" si="368">1-E325*M325</f>
        <v>0.7195260574</v>
      </c>
      <c r="O325" s="25">
        <f t="shared" ref="O325:O336" si="369">K325-I325</f>
        <v>4120.006205</v>
      </c>
      <c r="P325" s="25">
        <f t="shared" ref="P325:P336" si="370">K325*N325</f>
        <v>4120.006205</v>
      </c>
      <c r="Q325" s="64">
        <f>C325*'Rate Codes'!$D$7</f>
        <v>53.490035</v>
      </c>
      <c r="R325" s="25">
        <f>P325*'Rate Codes'!$D$8</f>
        <v>53.36644037</v>
      </c>
      <c r="S325" s="81">
        <f t="shared" ref="S325:S336" si="371">SUM(Q325:R325)</f>
        <v>106.8564754</v>
      </c>
      <c r="T325" s="66">
        <f>P325*'Rate Codes'!$D$8</f>
        <v>53.36644037</v>
      </c>
      <c r="U325" s="67">
        <f>(O325)*'Billing Rate'!$B$1</f>
        <v>280.1604219</v>
      </c>
      <c r="V325" s="25">
        <f t="shared" ref="V325:V337" si="372">S325+T325</f>
        <v>160.2229157</v>
      </c>
      <c r="W325" s="81">
        <f t="shared" ref="W325:W336" si="373">U325+S325+T325</f>
        <v>440.3833377</v>
      </c>
      <c r="X325" s="25">
        <f t="shared" ref="X325:X336" si="374">(IF(U325&gt;0,U325,0)+V325)*0.05</f>
        <v>22.01916688</v>
      </c>
      <c r="Y325" s="81">
        <f t="shared" ref="Y325:Y336" si="375">W325+X325</f>
        <v>462.4025046</v>
      </c>
    </row>
    <row r="326">
      <c r="A326" s="12"/>
      <c r="B326" s="80" t="s">
        <v>118</v>
      </c>
      <c r="C326" s="24">
        <v>28.0</v>
      </c>
      <c r="D326" s="22">
        <v>9.9167</v>
      </c>
      <c r="E326" s="23">
        <f t="shared" si="361"/>
        <v>0.4131958333</v>
      </c>
      <c r="F326" s="22">
        <f t="shared" si="362"/>
        <v>14.0833</v>
      </c>
      <c r="G326" s="23">
        <f t="shared" si="363"/>
        <v>0.5868041667</v>
      </c>
      <c r="H326" s="59">
        <v>0.04620731865</v>
      </c>
      <c r="I326" s="60">
        <f t="shared" si="364"/>
        <v>2716.975607</v>
      </c>
      <c r="J326" s="61">
        <f t="shared" si="365"/>
        <v>9.784993303</v>
      </c>
      <c r="K326" s="25">
        <v>5279.0</v>
      </c>
      <c r="L326" s="62">
        <f t="shared" si="366"/>
        <v>7.855654762</v>
      </c>
      <c r="M326" s="63">
        <f t="shared" si="367"/>
        <v>1</v>
      </c>
      <c r="N326" s="63">
        <f t="shared" si="368"/>
        <v>0.5868041667</v>
      </c>
      <c r="O326" s="25">
        <f t="shared" si="369"/>
        <v>2562.024393</v>
      </c>
      <c r="P326" s="25">
        <f t="shared" si="370"/>
        <v>3097.739196</v>
      </c>
      <c r="Q326" s="64">
        <f>C326*'Rate Codes'!$D$7</f>
        <v>48.31358</v>
      </c>
      <c r="R326" s="25">
        <f>P326*'Rate Codes'!$D$8</f>
        <v>40.1250158</v>
      </c>
      <c r="S326" s="81">
        <f t="shared" si="371"/>
        <v>88.4385958</v>
      </c>
      <c r="T326" s="66">
        <f>P326*'Rate Codes'!$D$8</f>
        <v>40.1250158</v>
      </c>
      <c r="U326" s="67">
        <f>(O326)*'Billing Rate'!$B$1</f>
        <v>174.2176588</v>
      </c>
      <c r="V326" s="25">
        <f t="shared" si="372"/>
        <v>128.5636116</v>
      </c>
      <c r="W326" s="81">
        <f t="shared" si="373"/>
        <v>302.7812704</v>
      </c>
      <c r="X326" s="25">
        <f t="shared" si="374"/>
        <v>15.13906352</v>
      </c>
      <c r="Y326" s="81">
        <f t="shared" si="375"/>
        <v>317.9203339</v>
      </c>
    </row>
    <row r="327">
      <c r="A327" s="12"/>
      <c r="B327" s="80" t="s">
        <v>119</v>
      </c>
      <c r="C327" s="24">
        <v>31.0</v>
      </c>
      <c r="D327" s="22">
        <v>11.8</v>
      </c>
      <c r="E327" s="23">
        <f t="shared" si="361"/>
        <v>0.4916666667</v>
      </c>
      <c r="F327" s="22">
        <f t="shared" si="362"/>
        <v>12.2</v>
      </c>
      <c r="G327" s="23">
        <f t="shared" si="363"/>
        <v>0.5083333333</v>
      </c>
      <c r="H327" s="59">
        <v>0.08500831624</v>
      </c>
      <c r="I327" s="60">
        <f t="shared" si="364"/>
        <v>4998.461896</v>
      </c>
      <c r="J327" s="61">
        <f t="shared" si="365"/>
        <v>13.66446664</v>
      </c>
      <c r="K327" s="25">
        <v>4991.0</v>
      </c>
      <c r="L327" s="62">
        <f t="shared" si="366"/>
        <v>6.708333333</v>
      </c>
      <c r="M327" s="63">
        <f t="shared" si="367"/>
        <v>1</v>
      </c>
      <c r="N327" s="63">
        <f t="shared" si="368"/>
        <v>0.5083333333</v>
      </c>
      <c r="O327" s="25">
        <f t="shared" si="369"/>
        <v>-7.461895778</v>
      </c>
      <c r="P327" s="25">
        <f t="shared" si="370"/>
        <v>2537.091667</v>
      </c>
      <c r="Q327" s="64">
        <f>C327*'Rate Codes'!$D$7</f>
        <v>53.490035</v>
      </c>
      <c r="R327" s="25">
        <f>P327*'Rate Codes'!$D$8</f>
        <v>32.86294836</v>
      </c>
      <c r="S327" s="81">
        <f t="shared" si="371"/>
        <v>86.35298336</v>
      </c>
      <c r="T327" s="66">
        <f>P327*'Rate Codes'!$D$8</f>
        <v>32.86294836</v>
      </c>
      <c r="U327" s="67">
        <f>(O327)*'Billing Rate'!$B$1</f>
        <v>-0.5074089129</v>
      </c>
      <c r="V327" s="25">
        <f t="shared" si="372"/>
        <v>119.2159317</v>
      </c>
      <c r="W327" s="81">
        <f t="shared" si="373"/>
        <v>118.7085228</v>
      </c>
      <c r="X327" s="25">
        <f t="shared" si="374"/>
        <v>5.960796586</v>
      </c>
      <c r="Y327" s="81">
        <f t="shared" si="375"/>
        <v>124.6693194</v>
      </c>
    </row>
    <row r="328">
      <c r="A328" s="12"/>
      <c r="B328" s="80" t="s">
        <v>120</v>
      </c>
      <c r="C328" s="24">
        <v>30.0</v>
      </c>
      <c r="D328" s="22">
        <v>13.8</v>
      </c>
      <c r="E328" s="23">
        <f t="shared" si="361"/>
        <v>0.575</v>
      </c>
      <c r="F328" s="22">
        <f t="shared" si="362"/>
        <v>10.2</v>
      </c>
      <c r="G328" s="23">
        <f t="shared" si="363"/>
        <v>0.425</v>
      </c>
      <c r="H328" s="59">
        <v>0.108773175</v>
      </c>
      <c r="I328" s="60">
        <f t="shared" si="364"/>
        <v>6395.828015</v>
      </c>
      <c r="J328" s="61">
        <f t="shared" si="365"/>
        <v>15.44885994</v>
      </c>
      <c r="K328" s="25">
        <v>4952.0</v>
      </c>
      <c r="L328" s="62">
        <f t="shared" si="366"/>
        <v>6.877777778</v>
      </c>
      <c r="M328" s="63">
        <f t="shared" si="367"/>
        <v>1</v>
      </c>
      <c r="N328" s="63">
        <f t="shared" si="368"/>
        <v>0.425</v>
      </c>
      <c r="O328" s="25">
        <f t="shared" si="369"/>
        <v>-1443.828015</v>
      </c>
      <c r="P328" s="25">
        <f t="shared" si="370"/>
        <v>2104.6</v>
      </c>
      <c r="Q328" s="64">
        <f>C328*'Rate Codes'!$D$7</f>
        <v>51.76455</v>
      </c>
      <c r="R328" s="25">
        <f>P328*'Rate Codes'!$D$8</f>
        <v>27.2608838</v>
      </c>
      <c r="S328" s="81">
        <f t="shared" si="371"/>
        <v>79.0254338</v>
      </c>
      <c r="T328" s="66">
        <f>P328*'Rate Codes'!$D$8</f>
        <v>27.2608838</v>
      </c>
      <c r="U328" s="67">
        <f>(O328)*'Billing Rate'!$B$1</f>
        <v>-98.18030502</v>
      </c>
      <c r="V328" s="25">
        <f t="shared" si="372"/>
        <v>106.2863176</v>
      </c>
      <c r="W328" s="81">
        <f t="shared" si="373"/>
        <v>8.106012576</v>
      </c>
      <c r="X328" s="25">
        <f t="shared" si="374"/>
        <v>5.31431588</v>
      </c>
      <c r="Y328" s="81">
        <f t="shared" si="375"/>
        <v>13.42032846</v>
      </c>
    </row>
    <row r="329">
      <c r="A329" s="12"/>
      <c r="B329" s="80" t="s">
        <v>98</v>
      </c>
      <c r="C329" s="24">
        <v>31.0</v>
      </c>
      <c r="D329" s="22">
        <v>15.5333</v>
      </c>
      <c r="E329" s="23">
        <f t="shared" si="361"/>
        <v>0.6472208333</v>
      </c>
      <c r="F329" s="22">
        <f t="shared" si="362"/>
        <v>8.4667</v>
      </c>
      <c r="G329" s="23">
        <f t="shared" si="363"/>
        <v>0.3527791667</v>
      </c>
      <c r="H329" s="59">
        <v>0.1281742617</v>
      </c>
      <c r="I329" s="60">
        <f t="shared" si="364"/>
        <v>7536.605728</v>
      </c>
      <c r="J329" s="61">
        <f t="shared" si="365"/>
        <v>15.65129842</v>
      </c>
      <c r="K329" s="25">
        <v>5559.0</v>
      </c>
      <c r="L329" s="62">
        <f t="shared" si="366"/>
        <v>7.471774194</v>
      </c>
      <c r="M329" s="63">
        <f t="shared" si="367"/>
        <v>1</v>
      </c>
      <c r="N329" s="63">
        <f t="shared" si="368"/>
        <v>0.3527791667</v>
      </c>
      <c r="O329" s="25">
        <f t="shared" si="369"/>
        <v>-1977.605728</v>
      </c>
      <c r="P329" s="25">
        <f t="shared" si="370"/>
        <v>1961.099388</v>
      </c>
      <c r="Q329" s="64">
        <f>C329*'Rate Codes'!$D$7</f>
        <v>53.490035</v>
      </c>
      <c r="R329" s="25">
        <f>P329*'Rate Codes'!$D$8</f>
        <v>25.40212037</v>
      </c>
      <c r="S329" s="81">
        <f t="shared" si="371"/>
        <v>78.89215537</v>
      </c>
      <c r="T329" s="66">
        <f>P329*'Rate Codes'!$D$8</f>
        <v>25.40212037</v>
      </c>
      <c r="U329" s="67">
        <f>(O329)*'Billing Rate'!$B$1</f>
        <v>-134.4771895</v>
      </c>
      <c r="V329" s="25">
        <f t="shared" si="372"/>
        <v>104.2942757</v>
      </c>
      <c r="W329" s="81">
        <f t="shared" si="373"/>
        <v>-30.18291379</v>
      </c>
      <c r="X329" s="25">
        <f t="shared" si="374"/>
        <v>5.214713787</v>
      </c>
      <c r="Y329" s="81">
        <f t="shared" si="375"/>
        <v>-24.9682</v>
      </c>
    </row>
    <row r="330">
      <c r="A330" s="12"/>
      <c r="B330" s="80" t="s">
        <v>121</v>
      </c>
      <c r="C330" s="24">
        <v>30.0</v>
      </c>
      <c r="D330" s="22">
        <v>16.4667</v>
      </c>
      <c r="E330" s="23">
        <f t="shared" si="361"/>
        <v>0.6861125</v>
      </c>
      <c r="F330" s="22">
        <f t="shared" si="362"/>
        <v>7.5333</v>
      </c>
      <c r="G330" s="23">
        <f t="shared" si="363"/>
        <v>0.3138875</v>
      </c>
      <c r="H330" s="59">
        <v>0.1254860808</v>
      </c>
      <c r="I330" s="60">
        <f t="shared" si="364"/>
        <v>7378.541548</v>
      </c>
      <c r="J330" s="61">
        <f t="shared" si="365"/>
        <v>14.93628869</v>
      </c>
      <c r="K330" s="25">
        <v>4964.0</v>
      </c>
      <c r="L330" s="62">
        <f t="shared" si="366"/>
        <v>6.894444444</v>
      </c>
      <c r="M330" s="63">
        <f t="shared" si="367"/>
        <v>1</v>
      </c>
      <c r="N330" s="63">
        <f t="shared" si="368"/>
        <v>0.3138875</v>
      </c>
      <c r="O330" s="25">
        <f t="shared" si="369"/>
        <v>-2414.541548</v>
      </c>
      <c r="P330" s="25">
        <f t="shared" si="370"/>
        <v>1558.13755</v>
      </c>
      <c r="Q330" s="64">
        <f>C330*'Rate Codes'!$D$7</f>
        <v>51.76455</v>
      </c>
      <c r="R330" s="25">
        <f>P330*'Rate Codes'!$D$8</f>
        <v>20.18255569</v>
      </c>
      <c r="S330" s="81">
        <f t="shared" si="371"/>
        <v>71.94710569</v>
      </c>
      <c r="T330" s="66">
        <f>P330*'Rate Codes'!$D$8</f>
        <v>20.18255569</v>
      </c>
      <c r="U330" s="67">
        <f>(O330)*'Billing Rate'!$B$1</f>
        <v>-164.1888253</v>
      </c>
      <c r="V330" s="25">
        <f t="shared" si="372"/>
        <v>92.12966137</v>
      </c>
      <c r="W330" s="81">
        <f t="shared" si="373"/>
        <v>-72.05916392</v>
      </c>
      <c r="X330" s="25">
        <f t="shared" si="374"/>
        <v>4.606483069</v>
      </c>
      <c r="Y330" s="81">
        <f t="shared" si="375"/>
        <v>-67.45268085</v>
      </c>
    </row>
    <row r="331">
      <c r="A331" s="12"/>
      <c r="B331" s="80" t="s">
        <v>122</v>
      </c>
      <c r="C331" s="24">
        <v>31.0</v>
      </c>
      <c r="D331" s="22">
        <v>16.05</v>
      </c>
      <c r="E331" s="23">
        <f t="shared" si="361"/>
        <v>0.66875</v>
      </c>
      <c r="F331" s="22">
        <f t="shared" si="362"/>
        <v>7.95</v>
      </c>
      <c r="G331" s="23">
        <f t="shared" si="363"/>
        <v>0.33125</v>
      </c>
      <c r="H331" s="59">
        <v>0.1449493112</v>
      </c>
      <c r="I331" s="60">
        <f t="shared" si="364"/>
        <v>8522.973291</v>
      </c>
      <c r="J331" s="61">
        <f t="shared" si="365"/>
        <v>17.12988301</v>
      </c>
      <c r="K331" s="25">
        <v>6634.0</v>
      </c>
      <c r="L331" s="62">
        <f t="shared" si="366"/>
        <v>8.916666667</v>
      </c>
      <c r="M331" s="63">
        <f t="shared" si="367"/>
        <v>1</v>
      </c>
      <c r="N331" s="63">
        <f t="shared" si="368"/>
        <v>0.33125</v>
      </c>
      <c r="O331" s="25">
        <f t="shared" si="369"/>
        <v>-1888.973291</v>
      </c>
      <c r="P331" s="25">
        <f t="shared" si="370"/>
        <v>2197.5125</v>
      </c>
      <c r="Q331" s="64">
        <f>C331*'Rate Codes'!$D$7</f>
        <v>53.490035</v>
      </c>
      <c r="R331" s="25">
        <f>P331*'Rate Codes'!$D$8</f>
        <v>28.46437941</v>
      </c>
      <c r="S331" s="81">
        <f t="shared" si="371"/>
        <v>81.95441441</v>
      </c>
      <c r="T331" s="66">
        <f>P331*'Rate Codes'!$D$8</f>
        <v>28.46437941</v>
      </c>
      <c r="U331" s="67">
        <f>(O331)*'Billing Rate'!$B$1</f>
        <v>-128.4501838</v>
      </c>
      <c r="V331" s="25">
        <f t="shared" si="372"/>
        <v>110.4187938</v>
      </c>
      <c r="W331" s="81">
        <f t="shared" si="373"/>
        <v>-18.03138998</v>
      </c>
      <c r="X331" s="25">
        <f t="shared" si="374"/>
        <v>5.520939691</v>
      </c>
      <c r="Y331" s="81">
        <f t="shared" si="375"/>
        <v>-12.51045029</v>
      </c>
    </row>
    <row r="332">
      <c r="A332" s="12"/>
      <c r="B332" s="80" t="s">
        <v>123</v>
      </c>
      <c r="C332" s="24">
        <v>31.0</v>
      </c>
      <c r="D332" s="22">
        <v>14.5167</v>
      </c>
      <c r="E332" s="23">
        <f t="shared" si="361"/>
        <v>0.6048625</v>
      </c>
      <c r="F332" s="22">
        <f t="shared" si="362"/>
        <v>9.4833</v>
      </c>
      <c r="G332" s="23">
        <f t="shared" si="363"/>
        <v>0.3951375</v>
      </c>
      <c r="H332" s="59">
        <v>0.1246952409</v>
      </c>
      <c r="I332" s="60">
        <f t="shared" si="364"/>
        <v>7332.040414</v>
      </c>
      <c r="J332" s="61">
        <f t="shared" si="365"/>
        <v>16.29278229</v>
      </c>
      <c r="K332" s="25">
        <v>5909.0</v>
      </c>
      <c r="L332" s="62">
        <f t="shared" si="366"/>
        <v>7.942204301</v>
      </c>
      <c r="M332" s="63">
        <f t="shared" si="367"/>
        <v>1</v>
      </c>
      <c r="N332" s="63">
        <f t="shared" si="368"/>
        <v>0.3951375</v>
      </c>
      <c r="O332" s="25">
        <f t="shared" si="369"/>
        <v>-1423.040414</v>
      </c>
      <c r="P332" s="25">
        <f t="shared" si="370"/>
        <v>2334.867488</v>
      </c>
      <c r="Q332" s="64">
        <f>C332*'Rate Codes'!$D$7</f>
        <v>53.490035</v>
      </c>
      <c r="R332" s="25">
        <f>P332*'Rate Codes'!$D$8</f>
        <v>30.24353857</v>
      </c>
      <c r="S332" s="81">
        <f t="shared" si="371"/>
        <v>83.73357357</v>
      </c>
      <c r="T332" s="66">
        <f>P332*'Rate Codes'!$D$8</f>
        <v>30.24353857</v>
      </c>
      <c r="U332" s="67">
        <f>(O332)*'Billing Rate'!$B$1</f>
        <v>-96.76674817</v>
      </c>
      <c r="V332" s="25">
        <f t="shared" si="372"/>
        <v>113.9771121</v>
      </c>
      <c r="W332" s="81">
        <f t="shared" si="373"/>
        <v>17.21036396</v>
      </c>
      <c r="X332" s="25">
        <f t="shared" si="374"/>
        <v>5.698855607</v>
      </c>
      <c r="Y332" s="81">
        <f t="shared" si="375"/>
        <v>22.90921957</v>
      </c>
    </row>
    <row r="333">
      <c r="A333" s="12"/>
      <c r="B333" s="80" t="s">
        <v>124</v>
      </c>
      <c r="C333" s="24">
        <v>30.0</v>
      </c>
      <c r="D333" s="22">
        <v>12.5833</v>
      </c>
      <c r="E333" s="23">
        <f t="shared" si="361"/>
        <v>0.5243041667</v>
      </c>
      <c r="F333" s="22">
        <f t="shared" si="362"/>
        <v>11.4167</v>
      </c>
      <c r="G333" s="23">
        <f t="shared" si="363"/>
        <v>0.4756958333</v>
      </c>
      <c r="H333" s="59">
        <v>0.09825803101</v>
      </c>
      <c r="I333" s="60">
        <f t="shared" si="364"/>
        <v>5777.5409</v>
      </c>
      <c r="J333" s="61">
        <f t="shared" si="365"/>
        <v>15.30478465</v>
      </c>
      <c r="K333" s="25">
        <v>5270.0</v>
      </c>
      <c r="L333" s="62">
        <f t="shared" si="366"/>
        <v>7.319444444</v>
      </c>
      <c r="M333" s="63">
        <f t="shared" si="367"/>
        <v>1</v>
      </c>
      <c r="N333" s="63">
        <f t="shared" si="368"/>
        <v>0.4756958333</v>
      </c>
      <c r="O333" s="25">
        <f t="shared" si="369"/>
        <v>-507.5409005</v>
      </c>
      <c r="P333" s="25">
        <f t="shared" si="370"/>
        <v>2506.917042</v>
      </c>
      <c r="Q333" s="64">
        <f>C333*'Rate Codes'!$D$7</f>
        <v>51.76455</v>
      </c>
      <c r="R333" s="25">
        <f>P333*'Rate Codes'!$D$8</f>
        <v>32.47209644</v>
      </c>
      <c r="S333" s="81">
        <f t="shared" si="371"/>
        <v>84.23664644</v>
      </c>
      <c r="T333" s="66">
        <f>P333*'Rate Codes'!$D$8</f>
        <v>32.47209644</v>
      </c>
      <c r="U333" s="67">
        <f>(O333)*'Billing Rate'!$B$1</f>
        <v>-34.51278123</v>
      </c>
      <c r="V333" s="25">
        <f t="shared" si="372"/>
        <v>116.7087429</v>
      </c>
      <c r="W333" s="81">
        <f t="shared" si="373"/>
        <v>82.19596165</v>
      </c>
      <c r="X333" s="25">
        <f t="shared" si="374"/>
        <v>5.835437144</v>
      </c>
      <c r="Y333" s="81">
        <f t="shared" si="375"/>
        <v>88.03139879</v>
      </c>
    </row>
    <row r="334">
      <c r="A334" s="12"/>
      <c r="B334" s="80" t="s">
        <v>125</v>
      </c>
      <c r="C334" s="24">
        <v>31.0</v>
      </c>
      <c r="D334" s="22">
        <v>10.5833</v>
      </c>
      <c r="E334" s="23">
        <f t="shared" si="361"/>
        <v>0.4409708333</v>
      </c>
      <c r="F334" s="22">
        <f t="shared" si="362"/>
        <v>13.4167</v>
      </c>
      <c r="G334" s="23">
        <f t="shared" si="363"/>
        <v>0.5590291667</v>
      </c>
      <c r="H334" s="59">
        <v>0.06840443866</v>
      </c>
      <c r="I334" s="60">
        <f t="shared" si="364"/>
        <v>4022.159187</v>
      </c>
      <c r="J334" s="61">
        <f t="shared" si="365"/>
        <v>12.25960433</v>
      </c>
      <c r="K334" s="25">
        <v>5946.0</v>
      </c>
      <c r="L334" s="62">
        <f t="shared" si="366"/>
        <v>7.991935484</v>
      </c>
      <c r="M334" s="63">
        <f t="shared" si="367"/>
        <v>1</v>
      </c>
      <c r="N334" s="63">
        <f t="shared" si="368"/>
        <v>0.5590291667</v>
      </c>
      <c r="O334" s="25">
        <f t="shared" si="369"/>
        <v>1923.840813</v>
      </c>
      <c r="P334" s="25">
        <f t="shared" si="370"/>
        <v>3323.987425</v>
      </c>
      <c r="Q334" s="64">
        <f>C334*'Rate Codes'!$D$7</f>
        <v>53.490035</v>
      </c>
      <c r="R334" s="25">
        <f>P334*'Rate Codes'!$D$8</f>
        <v>43.05560912</v>
      </c>
      <c r="S334" s="81">
        <f t="shared" si="371"/>
        <v>96.54564412</v>
      </c>
      <c r="T334" s="66">
        <f>P334*'Rate Codes'!$D$8</f>
        <v>43.05560912</v>
      </c>
      <c r="U334" s="67">
        <f>(O334)*'Billing Rate'!$B$1</f>
        <v>130.8211753</v>
      </c>
      <c r="V334" s="25">
        <f t="shared" si="372"/>
        <v>139.6012532</v>
      </c>
      <c r="W334" s="81">
        <f t="shared" si="373"/>
        <v>270.4224285</v>
      </c>
      <c r="X334" s="25">
        <f t="shared" si="374"/>
        <v>13.52112143</v>
      </c>
      <c r="Y334" s="81">
        <f t="shared" si="375"/>
        <v>283.9435499</v>
      </c>
    </row>
    <row r="335">
      <c r="A335" s="12"/>
      <c r="B335" s="80" t="s">
        <v>126</v>
      </c>
      <c r="C335" s="24">
        <v>30.0</v>
      </c>
      <c r="D335" s="22">
        <v>8.85</v>
      </c>
      <c r="E335" s="23">
        <f t="shared" si="361"/>
        <v>0.36875</v>
      </c>
      <c r="F335" s="22">
        <f t="shared" si="362"/>
        <v>15.15</v>
      </c>
      <c r="G335" s="23">
        <f t="shared" si="363"/>
        <v>0.63125</v>
      </c>
      <c r="H335" s="59">
        <v>0.0271408052</v>
      </c>
      <c r="I335" s="60">
        <f t="shared" si="364"/>
        <v>1595.870694</v>
      </c>
      <c r="J335" s="61">
        <f t="shared" si="365"/>
        <v>6.010812406</v>
      </c>
      <c r="K335" s="25">
        <v>5587.0</v>
      </c>
      <c r="L335" s="62">
        <f t="shared" si="366"/>
        <v>7.759722222</v>
      </c>
      <c r="M335" s="63">
        <f t="shared" si="367"/>
        <v>0.7746169558</v>
      </c>
      <c r="N335" s="63">
        <f t="shared" si="368"/>
        <v>0.7143599975</v>
      </c>
      <c r="O335" s="25">
        <f t="shared" si="369"/>
        <v>3991.129306</v>
      </c>
      <c r="P335" s="25">
        <f t="shared" si="370"/>
        <v>3991.129306</v>
      </c>
      <c r="Q335" s="64">
        <f>C335*'Rate Codes'!$D$7</f>
        <v>51.76455</v>
      </c>
      <c r="R335" s="25">
        <f>P335*'Rate Codes'!$D$8</f>
        <v>51.6970979</v>
      </c>
      <c r="S335" s="81">
        <f t="shared" si="371"/>
        <v>103.4616479</v>
      </c>
      <c r="T335" s="66">
        <f>P335*'Rate Codes'!$D$8</f>
        <v>51.6970979</v>
      </c>
      <c r="U335" s="67">
        <f>(O335)*'Billing Rate'!$B$1</f>
        <v>271.3967928</v>
      </c>
      <c r="V335" s="25">
        <f t="shared" si="372"/>
        <v>155.1587458</v>
      </c>
      <c r="W335" s="81">
        <f t="shared" si="373"/>
        <v>426.5555386</v>
      </c>
      <c r="X335" s="25">
        <f t="shared" si="374"/>
        <v>21.32777693</v>
      </c>
      <c r="Y335" s="81">
        <f t="shared" si="375"/>
        <v>447.8833156</v>
      </c>
    </row>
    <row r="336">
      <c r="A336" s="12"/>
      <c r="B336" s="80" t="s">
        <v>127</v>
      </c>
      <c r="C336" s="24">
        <v>31.0</v>
      </c>
      <c r="D336" s="22">
        <v>7.9667</v>
      </c>
      <c r="E336" s="23">
        <f t="shared" si="361"/>
        <v>0.3319458333</v>
      </c>
      <c r="F336" s="22">
        <f t="shared" si="362"/>
        <v>16.0333</v>
      </c>
      <c r="G336" s="23">
        <f t="shared" si="363"/>
        <v>0.6680541667</v>
      </c>
      <c r="H336" s="59">
        <v>0.01559005293</v>
      </c>
      <c r="I336" s="60">
        <f t="shared" si="364"/>
        <v>916.6901425</v>
      </c>
      <c r="J336" s="61">
        <f t="shared" si="365"/>
        <v>3.71178151</v>
      </c>
      <c r="K336" s="25">
        <v>5490.0</v>
      </c>
      <c r="L336" s="62">
        <f t="shared" si="366"/>
        <v>7.379032258</v>
      </c>
      <c r="M336" s="63">
        <f t="shared" si="367"/>
        <v>0.503017385</v>
      </c>
      <c r="N336" s="63">
        <f t="shared" si="368"/>
        <v>0.833025475</v>
      </c>
      <c r="O336" s="25">
        <f t="shared" si="369"/>
        <v>4573.309858</v>
      </c>
      <c r="P336" s="25">
        <f t="shared" si="370"/>
        <v>4573.309858</v>
      </c>
      <c r="Q336" s="64">
        <f>C336*'Rate Codes'!$D$7</f>
        <v>53.490035</v>
      </c>
      <c r="R336" s="25">
        <f>P336*'Rate Codes'!$D$8</f>
        <v>59.23808258</v>
      </c>
      <c r="S336" s="81">
        <f t="shared" si="371"/>
        <v>112.7281176</v>
      </c>
      <c r="T336" s="66">
        <f>P336*'Rate Codes'!$D$8</f>
        <v>59.23808258</v>
      </c>
      <c r="U336" s="67">
        <f>(O336)*'Billing Rate'!$B$1</f>
        <v>310.9850703</v>
      </c>
      <c r="V336" s="25">
        <f t="shared" si="372"/>
        <v>171.9662002</v>
      </c>
      <c r="W336" s="81">
        <f t="shared" si="373"/>
        <v>482.9512705</v>
      </c>
      <c r="X336" s="25">
        <f t="shared" si="374"/>
        <v>24.14756352</v>
      </c>
      <c r="Y336" s="81">
        <f t="shared" si="375"/>
        <v>507.098834</v>
      </c>
    </row>
    <row r="337">
      <c r="A337" s="12"/>
      <c r="B337" s="77" t="s">
        <v>109</v>
      </c>
      <c r="C337" s="82"/>
      <c r="D337" s="83"/>
      <c r="E337" s="83"/>
      <c r="F337" s="83"/>
      <c r="G337" s="83"/>
      <c r="H337" s="83">
        <f t="shared" ref="H337:I337" si="376">SUM(H325:H336)</f>
        <v>1</v>
      </c>
      <c r="I337" s="84">
        <f t="shared" si="376"/>
        <v>58799.68122</v>
      </c>
      <c r="J337" s="84"/>
      <c r="K337" s="85">
        <f>SUM(K325:K336)</f>
        <v>66307</v>
      </c>
      <c r="L337" s="85"/>
      <c r="M337" s="85"/>
      <c r="N337" s="85"/>
      <c r="O337" s="85">
        <f t="shared" ref="O337:U337" si="377">SUM(O325:O336)</f>
        <v>7507.318782</v>
      </c>
      <c r="P337" s="48">
        <f t="shared" si="377"/>
        <v>34306.39762</v>
      </c>
      <c r="Q337" s="85">
        <f t="shared" si="377"/>
        <v>629.802025</v>
      </c>
      <c r="R337" s="85">
        <f t="shared" si="377"/>
        <v>444.3707684</v>
      </c>
      <c r="S337" s="85">
        <f t="shared" si="377"/>
        <v>1074.172793</v>
      </c>
      <c r="T337" s="85">
        <f t="shared" si="377"/>
        <v>444.3707684</v>
      </c>
      <c r="U337" s="85">
        <f t="shared" si="377"/>
        <v>510.4976771</v>
      </c>
      <c r="V337" s="48">
        <f t="shared" si="372"/>
        <v>1518.543562</v>
      </c>
      <c r="W337" s="85">
        <f t="shared" ref="W337:Y337" si="378">SUM(W325:W336)</f>
        <v>2029.041239</v>
      </c>
      <c r="X337" s="85">
        <f t="shared" si="378"/>
        <v>134.306234</v>
      </c>
      <c r="Y337" s="85">
        <f t="shared" si="378"/>
        <v>2163.347473</v>
      </c>
    </row>
    <row r="339">
      <c r="A339" s="76">
        <v>21.0</v>
      </c>
      <c r="B339" s="12" t="s">
        <v>128</v>
      </c>
      <c r="C339" s="12"/>
      <c r="D339" s="15"/>
      <c r="E339" s="15"/>
      <c r="F339" s="15"/>
      <c r="G339" s="15"/>
      <c r="H339" s="15">
        <f>$H$1* POWER((1 -$O$1),A339)</f>
        <v>58505.68281</v>
      </c>
      <c r="I339" s="1" t="s">
        <v>132</v>
      </c>
      <c r="J339" s="1"/>
      <c r="K339" s="8">
        <f>H339/K353</f>
        <v>0.8823454961</v>
      </c>
      <c r="L339" s="8"/>
      <c r="M339" s="8"/>
      <c r="N339" s="8"/>
      <c r="O339" s="1" t="s">
        <v>133</v>
      </c>
      <c r="P339" s="6">
        <f>1-K339</f>
        <v>0.1176545039</v>
      </c>
      <c r="Q339" s="12" t="s">
        <v>74</v>
      </c>
      <c r="T339" s="12" t="s">
        <v>78</v>
      </c>
      <c r="U339" s="12"/>
      <c r="V339" s="12"/>
      <c r="W339" s="12"/>
      <c r="X339" s="12"/>
      <c r="Y339" s="12"/>
    </row>
    <row r="340">
      <c r="A340" s="12"/>
      <c r="B340" s="77" t="s">
        <v>83</v>
      </c>
      <c r="C340" s="20" t="s">
        <v>88</v>
      </c>
      <c r="D340" s="20" t="s">
        <v>84</v>
      </c>
      <c r="E340" s="20" t="s">
        <v>85</v>
      </c>
      <c r="F340" s="20" t="s">
        <v>86</v>
      </c>
      <c r="G340" s="20" t="s">
        <v>87</v>
      </c>
      <c r="H340" s="20" t="s">
        <v>134</v>
      </c>
      <c r="I340" s="44" t="s">
        <v>135</v>
      </c>
      <c r="J340" s="53" t="s">
        <v>92</v>
      </c>
      <c r="K340" s="20" t="s">
        <v>89</v>
      </c>
      <c r="L340" s="53" t="s">
        <v>90</v>
      </c>
      <c r="M340" s="53" t="s">
        <v>136</v>
      </c>
      <c r="N340" s="53" t="s">
        <v>137</v>
      </c>
      <c r="O340" s="20" t="s">
        <v>138</v>
      </c>
      <c r="P340" s="20" t="s">
        <v>139</v>
      </c>
      <c r="Q340" s="78" t="s">
        <v>76</v>
      </c>
      <c r="R340" s="78" t="s">
        <v>82</v>
      </c>
      <c r="S340" s="78" t="s">
        <v>109</v>
      </c>
      <c r="T340" s="78" t="s">
        <v>80</v>
      </c>
      <c r="U340" s="78" t="s">
        <v>67</v>
      </c>
      <c r="V340" s="45" t="s">
        <v>114</v>
      </c>
      <c r="W340" s="79" t="s">
        <v>115</v>
      </c>
      <c r="X340" s="79" t="s">
        <v>60</v>
      </c>
      <c r="Y340" s="79" t="s">
        <v>109</v>
      </c>
    </row>
    <row r="341">
      <c r="A341" s="12"/>
      <c r="B341" s="80" t="s">
        <v>117</v>
      </c>
      <c r="C341" s="24">
        <v>31.0</v>
      </c>
      <c r="D341" s="22">
        <v>8.45</v>
      </c>
      <c r="E341" s="23">
        <f t="shared" ref="E341:E352" si="379">D341/24</f>
        <v>0.3520833333</v>
      </c>
      <c r="F341" s="22">
        <f t="shared" ref="F341:F352" si="380">24-D341</f>
        <v>15.55</v>
      </c>
      <c r="G341" s="23">
        <f t="shared" ref="G341:G352" si="381">F341/24</f>
        <v>0.6479166667</v>
      </c>
      <c r="H341" s="59">
        <v>0.02731296772</v>
      </c>
      <c r="I341" s="60">
        <f t="shared" ref="I341:I352" si="382">H$339*H341</f>
        <v>1597.963826</v>
      </c>
      <c r="J341" s="61">
        <f t="shared" ref="J341:J352" si="383">I341/C341/D341</f>
        <v>6.100262745</v>
      </c>
      <c r="K341" s="25">
        <v>5726.0</v>
      </c>
      <c r="L341" s="62">
        <f t="shared" ref="L341:L352" si="384">K341/C341/24</f>
        <v>7.696236559</v>
      </c>
      <c r="M341" s="63">
        <f t="shared" ref="M341:M352" si="385">IF((J341/L341)&gt;1,1,J341/L341)</f>
        <v>0.7926293193</v>
      </c>
      <c r="N341" s="63">
        <f t="shared" ref="N341:N352" si="386">1-E341*M341</f>
        <v>0.7209284272</v>
      </c>
      <c r="O341" s="25">
        <f t="shared" ref="O341:O352" si="387">K341-I341</f>
        <v>4128.036174</v>
      </c>
      <c r="P341" s="25">
        <f t="shared" ref="P341:P352" si="388">K341*N341</f>
        <v>4128.036174</v>
      </c>
      <c r="Q341" s="64">
        <f>C341*'Rate Codes'!$D$7</f>
        <v>53.490035</v>
      </c>
      <c r="R341" s="25">
        <f>P341*'Rate Codes'!$D$8</f>
        <v>53.47045256</v>
      </c>
      <c r="S341" s="81">
        <f t="shared" ref="S341:S352" si="389">SUM(Q341:R341)</f>
        <v>106.9604876</v>
      </c>
      <c r="T341" s="66">
        <f>P341*'Rate Codes'!$D$8</f>
        <v>53.47045256</v>
      </c>
      <c r="U341" s="67">
        <f>(O341)*'Billing Rate'!$B$1</f>
        <v>280.7064598</v>
      </c>
      <c r="V341" s="25">
        <f t="shared" ref="V341:V353" si="390">S341+T341</f>
        <v>160.4309401</v>
      </c>
      <c r="W341" s="81">
        <f t="shared" ref="W341:W352" si="391">U341+S341+T341</f>
        <v>441.1373999</v>
      </c>
      <c r="X341" s="25">
        <f t="shared" ref="X341:X352" si="392">(IF(U341&gt;0,U341,0)+V341)*0.05</f>
        <v>22.05687</v>
      </c>
      <c r="Y341" s="81">
        <f t="shared" ref="Y341:Y352" si="393">W341+X341</f>
        <v>463.1942699</v>
      </c>
    </row>
    <row r="342">
      <c r="A342" s="12"/>
      <c r="B342" s="80" t="s">
        <v>118</v>
      </c>
      <c r="C342" s="24">
        <v>28.0</v>
      </c>
      <c r="D342" s="22">
        <v>9.9167</v>
      </c>
      <c r="E342" s="23">
        <f t="shared" si="379"/>
        <v>0.4131958333</v>
      </c>
      <c r="F342" s="22">
        <f t="shared" si="380"/>
        <v>14.0833</v>
      </c>
      <c r="G342" s="23">
        <f t="shared" si="381"/>
        <v>0.5868041667</v>
      </c>
      <c r="H342" s="59">
        <v>0.04620731865</v>
      </c>
      <c r="I342" s="60">
        <f t="shared" si="382"/>
        <v>2703.390729</v>
      </c>
      <c r="J342" s="61">
        <f t="shared" si="383"/>
        <v>9.736068337</v>
      </c>
      <c r="K342" s="25">
        <v>5279.0</v>
      </c>
      <c r="L342" s="62">
        <f t="shared" si="384"/>
        <v>7.855654762</v>
      </c>
      <c r="M342" s="63">
        <f t="shared" si="385"/>
        <v>1</v>
      </c>
      <c r="N342" s="63">
        <f t="shared" si="386"/>
        <v>0.5868041667</v>
      </c>
      <c r="O342" s="25">
        <f t="shared" si="387"/>
        <v>2575.609271</v>
      </c>
      <c r="P342" s="25">
        <f t="shared" si="388"/>
        <v>3097.739196</v>
      </c>
      <c r="Q342" s="64">
        <f>C342*'Rate Codes'!$D$7</f>
        <v>48.31358</v>
      </c>
      <c r="R342" s="25">
        <f>P342*'Rate Codes'!$D$8</f>
        <v>40.1250158</v>
      </c>
      <c r="S342" s="81">
        <f t="shared" si="389"/>
        <v>88.4385958</v>
      </c>
      <c r="T342" s="66">
        <f>P342*'Rate Codes'!$D$8</f>
        <v>40.1250158</v>
      </c>
      <c r="U342" s="67">
        <f>(O342)*'Billing Rate'!$B$1</f>
        <v>175.1414305</v>
      </c>
      <c r="V342" s="25">
        <f t="shared" si="390"/>
        <v>128.5636116</v>
      </c>
      <c r="W342" s="81">
        <f t="shared" si="391"/>
        <v>303.7050421</v>
      </c>
      <c r="X342" s="25">
        <f t="shared" si="392"/>
        <v>15.1852521</v>
      </c>
      <c r="Y342" s="81">
        <f t="shared" si="393"/>
        <v>318.8902942</v>
      </c>
    </row>
    <row r="343">
      <c r="A343" s="12"/>
      <c r="B343" s="80" t="s">
        <v>119</v>
      </c>
      <c r="C343" s="24">
        <v>31.0</v>
      </c>
      <c r="D343" s="22">
        <v>11.8</v>
      </c>
      <c r="E343" s="23">
        <f t="shared" si="379"/>
        <v>0.4916666667</v>
      </c>
      <c r="F343" s="22">
        <f t="shared" si="380"/>
        <v>12.2</v>
      </c>
      <c r="G343" s="23">
        <f t="shared" si="381"/>
        <v>0.5083333333</v>
      </c>
      <c r="H343" s="59">
        <v>0.08500831624</v>
      </c>
      <c r="I343" s="60">
        <f t="shared" si="382"/>
        <v>4973.469586</v>
      </c>
      <c r="J343" s="61">
        <f t="shared" si="383"/>
        <v>13.5961443</v>
      </c>
      <c r="K343" s="25">
        <v>4991.0</v>
      </c>
      <c r="L343" s="62">
        <f t="shared" si="384"/>
        <v>6.708333333</v>
      </c>
      <c r="M343" s="63">
        <f t="shared" si="385"/>
        <v>1</v>
      </c>
      <c r="N343" s="63">
        <f t="shared" si="386"/>
        <v>0.5083333333</v>
      </c>
      <c r="O343" s="25">
        <f t="shared" si="387"/>
        <v>17.5304137</v>
      </c>
      <c r="P343" s="25">
        <f t="shared" si="388"/>
        <v>2537.091667</v>
      </c>
      <c r="Q343" s="64">
        <f>C343*'Rate Codes'!$D$7</f>
        <v>53.490035</v>
      </c>
      <c r="R343" s="25">
        <f>P343*'Rate Codes'!$D$8</f>
        <v>32.86294836</v>
      </c>
      <c r="S343" s="81">
        <f t="shared" si="389"/>
        <v>86.35298336</v>
      </c>
      <c r="T343" s="66">
        <f>P343*'Rate Codes'!$D$8</f>
        <v>32.86294836</v>
      </c>
      <c r="U343" s="67">
        <f>(O343)*'Billing Rate'!$B$1</f>
        <v>1.192068132</v>
      </c>
      <c r="V343" s="25">
        <f t="shared" si="390"/>
        <v>119.2159317</v>
      </c>
      <c r="W343" s="81">
        <f t="shared" si="391"/>
        <v>120.4079998</v>
      </c>
      <c r="X343" s="25">
        <f t="shared" si="392"/>
        <v>6.020399992</v>
      </c>
      <c r="Y343" s="81">
        <f t="shared" si="393"/>
        <v>126.4283998</v>
      </c>
    </row>
    <row r="344">
      <c r="A344" s="12"/>
      <c r="B344" s="80" t="s">
        <v>120</v>
      </c>
      <c r="C344" s="24">
        <v>30.0</v>
      </c>
      <c r="D344" s="22">
        <v>13.8</v>
      </c>
      <c r="E344" s="23">
        <f t="shared" si="379"/>
        <v>0.575</v>
      </c>
      <c r="F344" s="22">
        <f t="shared" si="380"/>
        <v>10.2</v>
      </c>
      <c r="G344" s="23">
        <f t="shared" si="381"/>
        <v>0.425</v>
      </c>
      <c r="H344" s="59">
        <v>0.108773175</v>
      </c>
      <c r="I344" s="60">
        <f t="shared" si="382"/>
        <v>6363.848875</v>
      </c>
      <c r="J344" s="61">
        <f t="shared" si="383"/>
        <v>15.37161564</v>
      </c>
      <c r="K344" s="25">
        <v>4952.0</v>
      </c>
      <c r="L344" s="62">
        <f t="shared" si="384"/>
        <v>6.877777778</v>
      </c>
      <c r="M344" s="63">
        <f t="shared" si="385"/>
        <v>1</v>
      </c>
      <c r="N344" s="63">
        <f t="shared" si="386"/>
        <v>0.425</v>
      </c>
      <c r="O344" s="25">
        <f t="shared" si="387"/>
        <v>-1411.848875</v>
      </c>
      <c r="P344" s="25">
        <f t="shared" si="388"/>
        <v>2104.6</v>
      </c>
      <c r="Q344" s="64">
        <f>C344*'Rate Codes'!$D$7</f>
        <v>51.76455</v>
      </c>
      <c r="R344" s="25">
        <f>P344*'Rate Codes'!$D$8</f>
        <v>27.2608838</v>
      </c>
      <c r="S344" s="81">
        <f t="shared" si="389"/>
        <v>79.0254338</v>
      </c>
      <c r="T344" s="66">
        <f>P344*'Rate Codes'!$D$8</f>
        <v>27.2608838</v>
      </c>
      <c r="U344" s="67">
        <f>(O344)*'Billing Rate'!$B$1</f>
        <v>-96.0057235</v>
      </c>
      <c r="V344" s="25">
        <f t="shared" si="390"/>
        <v>106.2863176</v>
      </c>
      <c r="W344" s="81">
        <f t="shared" si="391"/>
        <v>10.2805941</v>
      </c>
      <c r="X344" s="25">
        <f t="shared" si="392"/>
        <v>5.31431588</v>
      </c>
      <c r="Y344" s="81">
        <f t="shared" si="393"/>
        <v>15.59490998</v>
      </c>
    </row>
    <row r="345">
      <c r="A345" s="12"/>
      <c r="B345" s="80" t="s">
        <v>98</v>
      </c>
      <c r="C345" s="24">
        <v>31.0</v>
      </c>
      <c r="D345" s="22">
        <v>15.5333</v>
      </c>
      <c r="E345" s="23">
        <f t="shared" si="379"/>
        <v>0.6472208333</v>
      </c>
      <c r="F345" s="22">
        <f t="shared" si="380"/>
        <v>8.4667</v>
      </c>
      <c r="G345" s="23">
        <f t="shared" si="381"/>
        <v>0.3527791667</v>
      </c>
      <c r="H345" s="59">
        <v>0.1281742617</v>
      </c>
      <c r="I345" s="60">
        <f t="shared" si="382"/>
        <v>7498.9227</v>
      </c>
      <c r="J345" s="61">
        <f t="shared" si="383"/>
        <v>15.57304193</v>
      </c>
      <c r="K345" s="25">
        <v>5559.0</v>
      </c>
      <c r="L345" s="62">
        <f t="shared" si="384"/>
        <v>7.471774194</v>
      </c>
      <c r="M345" s="63">
        <f t="shared" si="385"/>
        <v>1</v>
      </c>
      <c r="N345" s="63">
        <f t="shared" si="386"/>
        <v>0.3527791667</v>
      </c>
      <c r="O345" s="25">
        <f t="shared" si="387"/>
        <v>-1939.9227</v>
      </c>
      <c r="P345" s="25">
        <f t="shared" si="388"/>
        <v>1961.099388</v>
      </c>
      <c r="Q345" s="64">
        <f>C345*'Rate Codes'!$D$7</f>
        <v>53.490035</v>
      </c>
      <c r="R345" s="25">
        <f>P345*'Rate Codes'!$D$8</f>
        <v>25.40212037</v>
      </c>
      <c r="S345" s="81">
        <f t="shared" si="389"/>
        <v>78.89215537</v>
      </c>
      <c r="T345" s="66">
        <f>P345*'Rate Codes'!$D$8</f>
        <v>25.40212037</v>
      </c>
      <c r="U345" s="67">
        <f>(O345)*'Billing Rate'!$B$1</f>
        <v>-131.9147436</v>
      </c>
      <c r="V345" s="25">
        <f t="shared" si="390"/>
        <v>104.2942757</v>
      </c>
      <c r="W345" s="81">
        <f t="shared" si="391"/>
        <v>-27.62046784</v>
      </c>
      <c r="X345" s="25">
        <f t="shared" si="392"/>
        <v>5.214713787</v>
      </c>
      <c r="Y345" s="81">
        <f t="shared" si="393"/>
        <v>-22.40575406</v>
      </c>
    </row>
    <row r="346">
      <c r="A346" s="12"/>
      <c r="B346" s="80" t="s">
        <v>121</v>
      </c>
      <c r="C346" s="24">
        <v>30.0</v>
      </c>
      <c r="D346" s="22">
        <v>16.4667</v>
      </c>
      <c r="E346" s="23">
        <f t="shared" si="379"/>
        <v>0.6861125</v>
      </c>
      <c r="F346" s="22">
        <f t="shared" si="380"/>
        <v>7.5333</v>
      </c>
      <c r="G346" s="23">
        <f t="shared" si="381"/>
        <v>0.3138875</v>
      </c>
      <c r="H346" s="59">
        <v>0.1254860808</v>
      </c>
      <c r="I346" s="60">
        <f t="shared" si="382"/>
        <v>7341.648841</v>
      </c>
      <c r="J346" s="61">
        <f t="shared" si="383"/>
        <v>14.86160724</v>
      </c>
      <c r="K346" s="25">
        <v>4964.0</v>
      </c>
      <c r="L346" s="62">
        <f t="shared" si="384"/>
        <v>6.894444444</v>
      </c>
      <c r="M346" s="63">
        <f t="shared" si="385"/>
        <v>1</v>
      </c>
      <c r="N346" s="63">
        <f t="shared" si="386"/>
        <v>0.3138875</v>
      </c>
      <c r="O346" s="25">
        <f t="shared" si="387"/>
        <v>-2377.648841</v>
      </c>
      <c r="P346" s="25">
        <f t="shared" si="388"/>
        <v>1558.13755</v>
      </c>
      <c r="Q346" s="64">
        <f>C346*'Rate Codes'!$D$7</f>
        <v>51.76455</v>
      </c>
      <c r="R346" s="25">
        <f>P346*'Rate Codes'!$D$8</f>
        <v>20.18255569</v>
      </c>
      <c r="S346" s="81">
        <f t="shared" si="389"/>
        <v>71.94710569</v>
      </c>
      <c r="T346" s="66">
        <f>P346*'Rate Codes'!$D$8</f>
        <v>20.18255569</v>
      </c>
      <c r="U346" s="67">
        <f>(O346)*'Billing Rate'!$B$1</f>
        <v>-161.6801212</v>
      </c>
      <c r="V346" s="25">
        <f t="shared" si="390"/>
        <v>92.12966137</v>
      </c>
      <c r="W346" s="81">
        <f t="shared" si="391"/>
        <v>-69.55045979</v>
      </c>
      <c r="X346" s="25">
        <f t="shared" si="392"/>
        <v>4.606483069</v>
      </c>
      <c r="Y346" s="81">
        <f t="shared" si="393"/>
        <v>-64.94397672</v>
      </c>
    </row>
    <row r="347">
      <c r="A347" s="12"/>
      <c r="B347" s="80" t="s">
        <v>122</v>
      </c>
      <c r="C347" s="24">
        <v>31.0</v>
      </c>
      <c r="D347" s="22">
        <v>16.05</v>
      </c>
      <c r="E347" s="23">
        <f t="shared" si="379"/>
        <v>0.66875</v>
      </c>
      <c r="F347" s="22">
        <f t="shared" si="380"/>
        <v>7.95</v>
      </c>
      <c r="G347" s="23">
        <f t="shared" si="381"/>
        <v>0.33125</v>
      </c>
      <c r="H347" s="59">
        <v>0.1449493112</v>
      </c>
      <c r="I347" s="60">
        <f t="shared" si="382"/>
        <v>8480.358425</v>
      </c>
      <c r="J347" s="61">
        <f t="shared" si="383"/>
        <v>17.04423359</v>
      </c>
      <c r="K347" s="25">
        <v>6634.0</v>
      </c>
      <c r="L347" s="62">
        <f t="shared" si="384"/>
        <v>8.916666667</v>
      </c>
      <c r="M347" s="63">
        <f t="shared" si="385"/>
        <v>1</v>
      </c>
      <c r="N347" s="63">
        <f t="shared" si="386"/>
        <v>0.33125</v>
      </c>
      <c r="O347" s="25">
        <f t="shared" si="387"/>
        <v>-1846.358425</v>
      </c>
      <c r="P347" s="25">
        <f t="shared" si="388"/>
        <v>2197.5125</v>
      </c>
      <c r="Q347" s="64">
        <f>C347*'Rate Codes'!$D$7</f>
        <v>53.490035</v>
      </c>
      <c r="R347" s="25">
        <f>P347*'Rate Codes'!$D$8</f>
        <v>28.46437941</v>
      </c>
      <c r="S347" s="81">
        <f t="shared" si="389"/>
        <v>81.95441441</v>
      </c>
      <c r="T347" s="66">
        <f>P347*'Rate Codes'!$D$8</f>
        <v>28.46437941</v>
      </c>
      <c r="U347" s="67">
        <f>(O347)*'Billing Rate'!$B$1</f>
        <v>-125.5523729</v>
      </c>
      <c r="V347" s="25">
        <f t="shared" si="390"/>
        <v>110.4187938</v>
      </c>
      <c r="W347" s="81">
        <f t="shared" si="391"/>
        <v>-15.13357906</v>
      </c>
      <c r="X347" s="25">
        <f t="shared" si="392"/>
        <v>5.520939691</v>
      </c>
      <c r="Y347" s="81">
        <f t="shared" si="393"/>
        <v>-9.612639374</v>
      </c>
    </row>
    <row r="348">
      <c r="A348" s="12"/>
      <c r="B348" s="80" t="s">
        <v>123</v>
      </c>
      <c r="C348" s="24">
        <v>31.0</v>
      </c>
      <c r="D348" s="22">
        <v>14.5167</v>
      </c>
      <c r="E348" s="23">
        <f t="shared" si="379"/>
        <v>0.6048625</v>
      </c>
      <c r="F348" s="22">
        <f t="shared" si="380"/>
        <v>9.4833</v>
      </c>
      <c r="G348" s="23">
        <f t="shared" si="381"/>
        <v>0.3951375</v>
      </c>
      <c r="H348" s="59">
        <v>0.1246952409</v>
      </c>
      <c r="I348" s="60">
        <f t="shared" si="382"/>
        <v>7295.380212</v>
      </c>
      <c r="J348" s="61">
        <f t="shared" si="383"/>
        <v>16.21131838</v>
      </c>
      <c r="K348" s="25">
        <v>5909.0</v>
      </c>
      <c r="L348" s="62">
        <f t="shared" si="384"/>
        <v>7.942204301</v>
      </c>
      <c r="M348" s="63">
        <f t="shared" si="385"/>
        <v>1</v>
      </c>
      <c r="N348" s="63">
        <f t="shared" si="386"/>
        <v>0.3951375</v>
      </c>
      <c r="O348" s="25">
        <f t="shared" si="387"/>
        <v>-1386.380212</v>
      </c>
      <c r="P348" s="25">
        <f t="shared" si="388"/>
        <v>2334.867488</v>
      </c>
      <c r="Q348" s="64">
        <f>C348*'Rate Codes'!$D$7</f>
        <v>53.490035</v>
      </c>
      <c r="R348" s="25">
        <f>P348*'Rate Codes'!$D$8</f>
        <v>30.24353857</v>
      </c>
      <c r="S348" s="81">
        <f t="shared" si="389"/>
        <v>83.73357357</v>
      </c>
      <c r="T348" s="66">
        <f>P348*'Rate Codes'!$D$8</f>
        <v>30.24353857</v>
      </c>
      <c r="U348" s="67">
        <f>(O348)*'Billing Rate'!$B$1</f>
        <v>-94.27385443</v>
      </c>
      <c r="V348" s="25">
        <f t="shared" si="390"/>
        <v>113.9771121</v>
      </c>
      <c r="W348" s="81">
        <f t="shared" si="391"/>
        <v>19.7032577</v>
      </c>
      <c r="X348" s="25">
        <f t="shared" si="392"/>
        <v>5.698855607</v>
      </c>
      <c r="Y348" s="81">
        <f t="shared" si="393"/>
        <v>25.40211331</v>
      </c>
    </row>
    <row r="349">
      <c r="A349" s="12"/>
      <c r="B349" s="80" t="s">
        <v>124</v>
      </c>
      <c r="C349" s="24">
        <v>30.0</v>
      </c>
      <c r="D349" s="22">
        <v>12.5833</v>
      </c>
      <c r="E349" s="23">
        <f t="shared" si="379"/>
        <v>0.5243041667</v>
      </c>
      <c r="F349" s="22">
        <f t="shared" si="380"/>
        <v>11.4167</v>
      </c>
      <c r="G349" s="23">
        <f t="shared" si="381"/>
        <v>0.4756958333</v>
      </c>
      <c r="H349" s="59">
        <v>0.09825803101</v>
      </c>
      <c r="I349" s="60">
        <f t="shared" si="382"/>
        <v>5748.653196</v>
      </c>
      <c r="J349" s="61">
        <f t="shared" si="383"/>
        <v>15.22826073</v>
      </c>
      <c r="K349" s="25">
        <v>5270.0</v>
      </c>
      <c r="L349" s="62">
        <f t="shared" si="384"/>
        <v>7.319444444</v>
      </c>
      <c r="M349" s="63">
        <f t="shared" si="385"/>
        <v>1</v>
      </c>
      <c r="N349" s="63">
        <f t="shared" si="386"/>
        <v>0.4756958333</v>
      </c>
      <c r="O349" s="25">
        <f t="shared" si="387"/>
        <v>-478.653196</v>
      </c>
      <c r="P349" s="25">
        <f t="shared" si="388"/>
        <v>2506.917042</v>
      </c>
      <c r="Q349" s="64">
        <f>C349*'Rate Codes'!$D$7</f>
        <v>51.76455</v>
      </c>
      <c r="R349" s="25">
        <f>P349*'Rate Codes'!$D$8</f>
        <v>32.47209644</v>
      </c>
      <c r="S349" s="81">
        <f t="shared" si="389"/>
        <v>84.23664644</v>
      </c>
      <c r="T349" s="66">
        <f>P349*'Rate Codes'!$D$8</f>
        <v>32.47209644</v>
      </c>
      <c r="U349" s="67">
        <f>(O349)*'Billing Rate'!$B$1</f>
        <v>-32.54841733</v>
      </c>
      <c r="V349" s="25">
        <f t="shared" si="390"/>
        <v>116.7087429</v>
      </c>
      <c r="W349" s="81">
        <f t="shared" si="391"/>
        <v>84.16032555</v>
      </c>
      <c r="X349" s="25">
        <f t="shared" si="392"/>
        <v>5.835437144</v>
      </c>
      <c r="Y349" s="81">
        <f t="shared" si="393"/>
        <v>89.9957627</v>
      </c>
    </row>
    <row r="350">
      <c r="A350" s="12"/>
      <c r="B350" s="80" t="s">
        <v>125</v>
      </c>
      <c r="C350" s="24">
        <v>31.0</v>
      </c>
      <c r="D350" s="22">
        <v>10.5833</v>
      </c>
      <c r="E350" s="23">
        <f t="shared" si="379"/>
        <v>0.4409708333</v>
      </c>
      <c r="F350" s="22">
        <f t="shared" si="380"/>
        <v>13.4167</v>
      </c>
      <c r="G350" s="23">
        <f t="shared" si="381"/>
        <v>0.5590291667</v>
      </c>
      <c r="H350" s="59">
        <v>0.06840443866</v>
      </c>
      <c r="I350" s="60">
        <f t="shared" si="382"/>
        <v>4002.048391</v>
      </c>
      <c r="J350" s="61">
        <f t="shared" si="383"/>
        <v>12.19830631</v>
      </c>
      <c r="K350" s="25">
        <v>5946.0</v>
      </c>
      <c r="L350" s="62">
        <f t="shared" si="384"/>
        <v>7.991935484</v>
      </c>
      <c r="M350" s="63">
        <f t="shared" si="385"/>
        <v>1</v>
      </c>
      <c r="N350" s="63">
        <f t="shared" si="386"/>
        <v>0.5590291667</v>
      </c>
      <c r="O350" s="25">
        <f t="shared" si="387"/>
        <v>1943.951609</v>
      </c>
      <c r="P350" s="25">
        <f t="shared" si="388"/>
        <v>3323.987425</v>
      </c>
      <c r="Q350" s="64">
        <f>C350*'Rate Codes'!$D$7</f>
        <v>53.490035</v>
      </c>
      <c r="R350" s="25">
        <f>P350*'Rate Codes'!$D$8</f>
        <v>43.05560912</v>
      </c>
      <c r="S350" s="81">
        <f t="shared" si="389"/>
        <v>96.54564412</v>
      </c>
      <c r="T350" s="66">
        <f>P350*'Rate Codes'!$D$8</f>
        <v>43.05560912</v>
      </c>
      <c r="U350" s="67">
        <f>(O350)*'Billing Rate'!$B$1</f>
        <v>132.1887094</v>
      </c>
      <c r="V350" s="25">
        <f t="shared" si="390"/>
        <v>139.6012532</v>
      </c>
      <c r="W350" s="81">
        <f t="shared" si="391"/>
        <v>271.7899626</v>
      </c>
      <c r="X350" s="25">
        <f t="shared" si="392"/>
        <v>13.58949813</v>
      </c>
      <c r="Y350" s="81">
        <f t="shared" si="393"/>
        <v>285.3794608</v>
      </c>
    </row>
    <row r="351">
      <c r="A351" s="12"/>
      <c r="B351" s="80" t="s">
        <v>126</v>
      </c>
      <c r="C351" s="24">
        <v>30.0</v>
      </c>
      <c r="D351" s="22">
        <v>8.85</v>
      </c>
      <c r="E351" s="23">
        <f t="shared" si="379"/>
        <v>0.36875</v>
      </c>
      <c r="F351" s="22">
        <f t="shared" si="380"/>
        <v>15.15</v>
      </c>
      <c r="G351" s="23">
        <f t="shared" si="381"/>
        <v>0.63125</v>
      </c>
      <c r="H351" s="59">
        <v>0.0271408052</v>
      </c>
      <c r="I351" s="60">
        <f t="shared" si="382"/>
        <v>1587.89134</v>
      </c>
      <c r="J351" s="61">
        <f t="shared" si="383"/>
        <v>5.980758344</v>
      </c>
      <c r="K351" s="25">
        <v>5587.0</v>
      </c>
      <c r="L351" s="62">
        <f t="shared" si="384"/>
        <v>7.759722222</v>
      </c>
      <c r="M351" s="63">
        <f t="shared" si="385"/>
        <v>0.7707438711</v>
      </c>
      <c r="N351" s="63">
        <f t="shared" si="386"/>
        <v>0.7157881976</v>
      </c>
      <c r="O351" s="25">
        <f t="shared" si="387"/>
        <v>3999.10866</v>
      </c>
      <c r="P351" s="25">
        <f t="shared" si="388"/>
        <v>3999.10866</v>
      </c>
      <c r="Q351" s="64">
        <f>C351*'Rate Codes'!$D$7</f>
        <v>51.76455</v>
      </c>
      <c r="R351" s="25">
        <f>P351*'Rate Codes'!$D$8</f>
        <v>51.80045447</v>
      </c>
      <c r="S351" s="81">
        <f t="shared" si="389"/>
        <v>103.5650045</v>
      </c>
      <c r="T351" s="66">
        <f>P351*'Rate Codes'!$D$8</f>
        <v>51.80045447</v>
      </c>
      <c r="U351" s="67">
        <f>(O351)*'Billing Rate'!$B$1</f>
        <v>271.9393889</v>
      </c>
      <c r="V351" s="25">
        <f t="shared" si="390"/>
        <v>155.3654589</v>
      </c>
      <c r="W351" s="81">
        <f t="shared" si="391"/>
        <v>427.3048478</v>
      </c>
      <c r="X351" s="25">
        <f t="shared" si="392"/>
        <v>21.36524239</v>
      </c>
      <c r="Y351" s="81">
        <f t="shared" si="393"/>
        <v>448.6700902</v>
      </c>
    </row>
    <row r="352">
      <c r="A352" s="12"/>
      <c r="B352" s="80" t="s">
        <v>127</v>
      </c>
      <c r="C352" s="24">
        <v>31.0</v>
      </c>
      <c r="D352" s="22">
        <v>7.9667</v>
      </c>
      <c r="E352" s="23">
        <f t="shared" si="379"/>
        <v>0.3319458333</v>
      </c>
      <c r="F352" s="22">
        <f t="shared" si="380"/>
        <v>16.0333</v>
      </c>
      <c r="G352" s="23">
        <f t="shared" si="381"/>
        <v>0.6680541667</v>
      </c>
      <c r="H352" s="59">
        <v>0.01559005293</v>
      </c>
      <c r="I352" s="60">
        <f t="shared" si="382"/>
        <v>912.1066917</v>
      </c>
      <c r="J352" s="61">
        <f t="shared" si="383"/>
        <v>3.693222603</v>
      </c>
      <c r="K352" s="25">
        <v>5490.0</v>
      </c>
      <c r="L352" s="62">
        <f t="shared" si="384"/>
        <v>7.379032258</v>
      </c>
      <c r="M352" s="63">
        <f t="shared" si="385"/>
        <v>0.5005022981</v>
      </c>
      <c r="N352" s="63">
        <f t="shared" si="386"/>
        <v>0.8338603476</v>
      </c>
      <c r="O352" s="25">
        <f t="shared" si="387"/>
        <v>4577.893308</v>
      </c>
      <c r="P352" s="25">
        <f t="shared" si="388"/>
        <v>4577.893308</v>
      </c>
      <c r="Q352" s="64">
        <f>C352*'Rate Codes'!$D$7</f>
        <v>53.490035</v>
      </c>
      <c r="R352" s="25">
        <f>P352*'Rate Codes'!$D$8</f>
        <v>59.29745202</v>
      </c>
      <c r="S352" s="81">
        <f t="shared" si="389"/>
        <v>112.787487</v>
      </c>
      <c r="T352" s="66">
        <f>P352*'Rate Codes'!$D$8</f>
        <v>59.29745202</v>
      </c>
      <c r="U352" s="67">
        <f>(O352)*'Billing Rate'!$B$1</f>
        <v>311.296745</v>
      </c>
      <c r="V352" s="25">
        <f t="shared" si="390"/>
        <v>172.084939</v>
      </c>
      <c r="W352" s="81">
        <f t="shared" si="391"/>
        <v>483.381684</v>
      </c>
      <c r="X352" s="25">
        <f t="shared" si="392"/>
        <v>24.1690842</v>
      </c>
      <c r="Y352" s="81">
        <f t="shared" si="393"/>
        <v>507.5507682</v>
      </c>
    </row>
    <row r="353">
      <c r="A353" s="12"/>
      <c r="B353" s="77" t="s">
        <v>109</v>
      </c>
      <c r="C353" s="82"/>
      <c r="D353" s="83"/>
      <c r="E353" s="83"/>
      <c r="F353" s="83"/>
      <c r="G353" s="83"/>
      <c r="H353" s="83">
        <f t="shared" ref="H353:I353" si="394">SUM(H341:H352)</f>
        <v>1</v>
      </c>
      <c r="I353" s="84">
        <f t="shared" si="394"/>
        <v>58505.68281</v>
      </c>
      <c r="J353" s="84"/>
      <c r="K353" s="85">
        <f>SUM(K341:K352)</f>
        <v>66307</v>
      </c>
      <c r="L353" s="85"/>
      <c r="M353" s="85"/>
      <c r="N353" s="85"/>
      <c r="O353" s="85">
        <f t="shared" ref="O353:U353" si="395">SUM(O341:O352)</f>
        <v>7801.317188</v>
      </c>
      <c r="P353" s="48">
        <f t="shared" si="395"/>
        <v>34326.9904</v>
      </c>
      <c r="Q353" s="85">
        <f t="shared" si="395"/>
        <v>629.802025</v>
      </c>
      <c r="R353" s="85">
        <f t="shared" si="395"/>
        <v>444.6375066</v>
      </c>
      <c r="S353" s="85">
        <f t="shared" si="395"/>
        <v>1074.439532</v>
      </c>
      <c r="T353" s="85">
        <f t="shared" si="395"/>
        <v>444.6375066</v>
      </c>
      <c r="U353" s="85">
        <f t="shared" si="395"/>
        <v>530.4895688</v>
      </c>
      <c r="V353" s="48">
        <f t="shared" si="390"/>
        <v>1519.077038</v>
      </c>
      <c r="W353" s="85">
        <f t="shared" ref="W353:Y353" si="396">SUM(W341:W352)</f>
        <v>2049.566607</v>
      </c>
      <c r="X353" s="85">
        <f t="shared" si="396"/>
        <v>134.577092</v>
      </c>
      <c r="Y353" s="85">
        <f t="shared" si="396"/>
        <v>2184.143699</v>
      </c>
    </row>
    <row r="355">
      <c r="A355" s="76">
        <v>22.0</v>
      </c>
      <c r="B355" s="12" t="s">
        <v>128</v>
      </c>
      <c r="C355" s="12"/>
      <c r="D355" s="15"/>
      <c r="E355" s="15"/>
      <c r="F355" s="15"/>
      <c r="G355" s="15"/>
      <c r="H355" s="15">
        <f>$H$1* POWER((1 -$O$1),A355)</f>
        <v>58213.1544</v>
      </c>
      <c r="I355" s="1" t="s">
        <v>132</v>
      </c>
      <c r="J355" s="1"/>
      <c r="K355" s="8">
        <f>H355/K369</f>
        <v>0.8779337686</v>
      </c>
      <c r="L355" s="8"/>
      <c r="M355" s="8"/>
      <c r="N355" s="8"/>
      <c r="O355" s="1" t="s">
        <v>133</v>
      </c>
      <c r="P355" s="6">
        <f>1-K355</f>
        <v>0.1220662314</v>
      </c>
      <c r="Q355" s="12" t="s">
        <v>74</v>
      </c>
      <c r="T355" s="12" t="s">
        <v>78</v>
      </c>
      <c r="U355" s="12"/>
      <c r="V355" s="12"/>
      <c r="W355" s="12"/>
      <c r="X355" s="12"/>
      <c r="Y355" s="12"/>
    </row>
    <row r="356">
      <c r="A356" s="12"/>
      <c r="B356" s="77" t="s">
        <v>83</v>
      </c>
      <c r="C356" s="20" t="s">
        <v>88</v>
      </c>
      <c r="D356" s="20" t="s">
        <v>84</v>
      </c>
      <c r="E356" s="20" t="s">
        <v>85</v>
      </c>
      <c r="F356" s="20" t="s">
        <v>86</v>
      </c>
      <c r="G356" s="20" t="s">
        <v>87</v>
      </c>
      <c r="H356" s="20" t="s">
        <v>134</v>
      </c>
      <c r="I356" s="44" t="s">
        <v>135</v>
      </c>
      <c r="J356" s="53" t="s">
        <v>92</v>
      </c>
      <c r="K356" s="20" t="s">
        <v>89</v>
      </c>
      <c r="L356" s="53" t="s">
        <v>90</v>
      </c>
      <c r="M356" s="53" t="s">
        <v>136</v>
      </c>
      <c r="N356" s="53" t="s">
        <v>137</v>
      </c>
      <c r="O356" s="20" t="s">
        <v>138</v>
      </c>
      <c r="P356" s="20" t="s">
        <v>139</v>
      </c>
      <c r="Q356" s="78" t="s">
        <v>76</v>
      </c>
      <c r="R356" s="78" t="s">
        <v>82</v>
      </c>
      <c r="S356" s="78" t="s">
        <v>109</v>
      </c>
      <c r="T356" s="78" t="s">
        <v>80</v>
      </c>
      <c r="U356" s="78" t="s">
        <v>67</v>
      </c>
      <c r="V356" s="45" t="s">
        <v>114</v>
      </c>
      <c r="W356" s="79" t="s">
        <v>115</v>
      </c>
      <c r="X356" s="79" t="s">
        <v>60</v>
      </c>
      <c r="Y356" s="79" t="s">
        <v>109</v>
      </c>
    </row>
    <row r="357">
      <c r="A357" s="12"/>
      <c r="B357" s="80" t="s">
        <v>117</v>
      </c>
      <c r="C357" s="24">
        <v>31.0</v>
      </c>
      <c r="D357" s="22">
        <v>8.45</v>
      </c>
      <c r="E357" s="23">
        <f t="shared" ref="E357:E368" si="397">D357/24</f>
        <v>0.3520833333</v>
      </c>
      <c r="F357" s="22">
        <f t="shared" ref="F357:F368" si="398">24-D357</f>
        <v>15.55</v>
      </c>
      <c r="G357" s="23">
        <f t="shared" ref="G357:G368" si="399">F357/24</f>
        <v>0.6479166667</v>
      </c>
      <c r="H357" s="59">
        <v>0.02731296772</v>
      </c>
      <c r="I357" s="60">
        <f t="shared" ref="I357:I368" si="400">H$355*H357</f>
        <v>1589.974007</v>
      </c>
      <c r="J357" s="61">
        <f t="shared" ref="J357:J368" si="401">I357/C357/D357</f>
        <v>6.069761431</v>
      </c>
      <c r="K357" s="25">
        <v>5726.0</v>
      </c>
      <c r="L357" s="62">
        <f t="shared" ref="L357:L368" si="402">K357/C357/24</f>
        <v>7.696236559</v>
      </c>
      <c r="M357" s="63">
        <f t="shared" ref="M357:M368" si="403">IF((J357/L357)&gt;1,1,J357/L357)</f>
        <v>0.7886661727</v>
      </c>
      <c r="N357" s="63">
        <f t="shared" ref="N357:N368" si="404">1-E357*M357</f>
        <v>0.722323785</v>
      </c>
      <c r="O357" s="25">
        <f t="shared" ref="O357:O368" si="405">K357-I357</f>
        <v>4136.025993</v>
      </c>
      <c r="P357" s="25">
        <f t="shared" ref="P357:P368" si="406">K357*N357</f>
        <v>4136.025993</v>
      </c>
      <c r="Q357" s="64">
        <f>C357*'Rate Codes'!$D$7</f>
        <v>53.490035</v>
      </c>
      <c r="R357" s="25">
        <f>P357*'Rate Codes'!$D$8</f>
        <v>53.57394469</v>
      </c>
      <c r="S357" s="81">
        <f t="shared" ref="S357:S368" si="407">SUM(Q357:R357)</f>
        <v>107.0639797</v>
      </c>
      <c r="T357" s="66">
        <f>P357*'Rate Codes'!$D$8</f>
        <v>53.57394469</v>
      </c>
      <c r="U357" s="67">
        <f>(O357)*'Billing Rate'!$B$1</f>
        <v>281.2497675</v>
      </c>
      <c r="V357" s="25">
        <f t="shared" ref="V357:V369" si="408">S357+T357</f>
        <v>160.6379244</v>
      </c>
      <c r="W357" s="81">
        <f t="shared" ref="W357:W368" si="409">U357+S357+T357</f>
        <v>441.8876919</v>
      </c>
      <c r="X357" s="25">
        <f t="shared" ref="X357:X368" si="410">(IF(U357&gt;0,U357,0)+V357)*0.05</f>
        <v>22.0943846</v>
      </c>
      <c r="Y357" s="81">
        <f t="shared" ref="Y357:Y368" si="411">W357+X357</f>
        <v>463.9820765</v>
      </c>
    </row>
    <row r="358">
      <c r="A358" s="12"/>
      <c r="B358" s="80" t="s">
        <v>118</v>
      </c>
      <c r="C358" s="24">
        <v>28.0</v>
      </c>
      <c r="D358" s="22">
        <v>9.9167</v>
      </c>
      <c r="E358" s="23">
        <f t="shared" si="397"/>
        <v>0.4131958333</v>
      </c>
      <c r="F358" s="22">
        <f t="shared" si="398"/>
        <v>14.0833</v>
      </c>
      <c r="G358" s="23">
        <f t="shared" si="399"/>
        <v>0.5868041667</v>
      </c>
      <c r="H358" s="59">
        <v>0.04620731865</v>
      </c>
      <c r="I358" s="60">
        <f t="shared" si="400"/>
        <v>2689.873775</v>
      </c>
      <c r="J358" s="61">
        <f t="shared" si="401"/>
        <v>9.687387995</v>
      </c>
      <c r="K358" s="25">
        <v>5279.0</v>
      </c>
      <c r="L358" s="62">
        <f t="shared" si="402"/>
        <v>7.855654762</v>
      </c>
      <c r="M358" s="63">
        <f t="shared" si="403"/>
        <v>1</v>
      </c>
      <c r="N358" s="63">
        <f t="shared" si="404"/>
        <v>0.5868041667</v>
      </c>
      <c r="O358" s="25">
        <f t="shared" si="405"/>
        <v>2589.126225</v>
      </c>
      <c r="P358" s="25">
        <f t="shared" si="406"/>
        <v>3097.739196</v>
      </c>
      <c r="Q358" s="64">
        <f>C358*'Rate Codes'!$D$7</f>
        <v>48.31358</v>
      </c>
      <c r="R358" s="25">
        <f>P358*'Rate Codes'!$D$8</f>
        <v>40.1250158</v>
      </c>
      <c r="S358" s="81">
        <f t="shared" si="407"/>
        <v>88.4385958</v>
      </c>
      <c r="T358" s="66">
        <f>P358*'Rate Codes'!$D$8</f>
        <v>40.1250158</v>
      </c>
      <c r="U358" s="67">
        <f>(O358)*'Billing Rate'!$B$1</f>
        <v>176.0605833</v>
      </c>
      <c r="V358" s="25">
        <f t="shared" si="408"/>
        <v>128.5636116</v>
      </c>
      <c r="W358" s="81">
        <f t="shared" si="409"/>
        <v>304.6241949</v>
      </c>
      <c r="X358" s="25">
        <f t="shared" si="410"/>
        <v>15.23120975</v>
      </c>
      <c r="Y358" s="81">
        <f t="shared" si="411"/>
        <v>319.8554047</v>
      </c>
    </row>
    <row r="359">
      <c r="A359" s="12"/>
      <c r="B359" s="80" t="s">
        <v>119</v>
      </c>
      <c r="C359" s="24">
        <v>31.0</v>
      </c>
      <c r="D359" s="22">
        <v>11.8</v>
      </c>
      <c r="E359" s="23">
        <f t="shared" si="397"/>
        <v>0.4916666667</v>
      </c>
      <c r="F359" s="22">
        <f t="shared" si="398"/>
        <v>12.2</v>
      </c>
      <c r="G359" s="23">
        <f t="shared" si="399"/>
        <v>0.5083333333</v>
      </c>
      <c r="H359" s="59">
        <v>0.08500831624</v>
      </c>
      <c r="I359" s="60">
        <f t="shared" si="400"/>
        <v>4948.602238</v>
      </c>
      <c r="J359" s="61">
        <f t="shared" si="401"/>
        <v>13.52816358</v>
      </c>
      <c r="K359" s="25">
        <v>4991.0</v>
      </c>
      <c r="L359" s="62">
        <f t="shared" si="402"/>
        <v>6.708333333</v>
      </c>
      <c r="M359" s="63">
        <f t="shared" si="403"/>
        <v>1</v>
      </c>
      <c r="N359" s="63">
        <f t="shared" si="404"/>
        <v>0.5083333333</v>
      </c>
      <c r="O359" s="25">
        <f t="shared" si="405"/>
        <v>42.39776163</v>
      </c>
      <c r="P359" s="25">
        <f t="shared" si="406"/>
        <v>2537.091667</v>
      </c>
      <c r="Q359" s="64">
        <f>C359*'Rate Codes'!$D$7</f>
        <v>53.490035</v>
      </c>
      <c r="R359" s="25">
        <f>P359*'Rate Codes'!$D$8</f>
        <v>32.86294836</v>
      </c>
      <c r="S359" s="81">
        <f t="shared" si="407"/>
        <v>86.35298336</v>
      </c>
      <c r="T359" s="66">
        <f>P359*'Rate Codes'!$D$8</f>
        <v>32.86294836</v>
      </c>
      <c r="U359" s="67">
        <f>(O359)*'Billing Rate'!$B$1</f>
        <v>2.883047791</v>
      </c>
      <c r="V359" s="25">
        <f t="shared" si="408"/>
        <v>119.2159317</v>
      </c>
      <c r="W359" s="81">
        <f t="shared" si="409"/>
        <v>122.0989795</v>
      </c>
      <c r="X359" s="25">
        <f t="shared" si="410"/>
        <v>6.104948975</v>
      </c>
      <c r="Y359" s="81">
        <f t="shared" si="411"/>
        <v>128.2039285</v>
      </c>
    </row>
    <row r="360">
      <c r="A360" s="12"/>
      <c r="B360" s="80" t="s">
        <v>120</v>
      </c>
      <c r="C360" s="24">
        <v>30.0</v>
      </c>
      <c r="D360" s="22">
        <v>13.8</v>
      </c>
      <c r="E360" s="23">
        <f t="shared" si="397"/>
        <v>0.575</v>
      </c>
      <c r="F360" s="22">
        <f t="shared" si="398"/>
        <v>10.2</v>
      </c>
      <c r="G360" s="23">
        <f t="shared" si="399"/>
        <v>0.425</v>
      </c>
      <c r="H360" s="59">
        <v>0.108773175</v>
      </c>
      <c r="I360" s="60">
        <f t="shared" si="400"/>
        <v>6332.029631</v>
      </c>
      <c r="J360" s="61">
        <f t="shared" si="401"/>
        <v>15.29475756</v>
      </c>
      <c r="K360" s="25">
        <v>4952.0</v>
      </c>
      <c r="L360" s="62">
        <f t="shared" si="402"/>
        <v>6.877777778</v>
      </c>
      <c r="M360" s="63">
        <f t="shared" si="403"/>
        <v>1</v>
      </c>
      <c r="N360" s="63">
        <f t="shared" si="404"/>
        <v>0.425</v>
      </c>
      <c r="O360" s="25">
        <f t="shared" si="405"/>
        <v>-1380.029631</v>
      </c>
      <c r="P360" s="25">
        <f t="shared" si="406"/>
        <v>2104.6</v>
      </c>
      <c r="Q360" s="64">
        <f>C360*'Rate Codes'!$D$7</f>
        <v>51.76455</v>
      </c>
      <c r="R360" s="25">
        <f>P360*'Rate Codes'!$D$8</f>
        <v>27.2608838</v>
      </c>
      <c r="S360" s="81">
        <f t="shared" si="407"/>
        <v>79.0254338</v>
      </c>
      <c r="T360" s="66">
        <f>P360*'Rate Codes'!$D$8</f>
        <v>27.2608838</v>
      </c>
      <c r="U360" s="67">
        <f>(O360)*'Billing Rate'!$B$1</f>
        <v>-93.84201488</v>
      </c>
      <c r="V360" s="25">
        <f t="shared" si="408"/>
        <v>106.2863176</v>
      </c>
      <c r="W360" s="81">
        <f t="shared" si="409"/>
        <v>12.44430272</v>
      </c>
      <c r="X360" s="25">
        <f t="shared" si="410"/>
        <v>5.31431588</v>
      </c>
      <c r="Y360" s="81">
        <f t="shared" si="411"/>
        <v>17.7586186</v>
      </c>
    </row>
    <row r="361">
      <c r="A361" s="12"/>
      <c r="B361" s="80" t="s">
        <v>98</v>
      </c>
      <c r="C361" s="24">
        <v>31.0</v>
      </c>
      <c r="D361" s="22">
        <v>15.5333</v>
      </c>
      <c r="E361" s="23">
        <f t="shared" si="397"/>
        <v>0.6472208333</v>
      </c>
      <c r="F361" s="22">
        <f t="shared" si="398"/>
        <v>8.4667</v>
      </c>
      <c r="G361" s="23">
        <f t="shared" si="399"/>
        <v>0.3527791667</v>
      </c>
      <c r="H361" s="59">
        <v>0.1281742617</v>
      </c>
      <c r="I361" s="60">
        <f t="shared" si="400"/>
        <v>7461.428086</v>
      </c>
      <c r="J361" s="61">
        <f t="shared" si="401"/>
        <v>15.49517672</v>
      </c>
      <c r="K361" s="25">
        <v>5559.0</v>
      </c>
      <c r="L361" s="62">
        <f t="shared" si="402"/>
        <v>7.471774194</v>
      </c>
      <c r="M361" s="63">
        <f t="shared" si="403"/>
        <v>1</v>
      </c>
      <c r="N361" s="63">
        <f t="shared" si="404"/>
        <v>0.3527791667</v>
      </c>
      <c r="O361" s="25">
        <f t="shared" si="405"/>
        <v>-1902.428086</v>
      </c>
      <c r="P361" s="25">
        <f t="shared" si="406"/>
        <v>1961.099388</v>
      </c>
      <c r="Q361" s="64">
        <f>C361*'Rate Codes'!$D$7</f>
        <v>53.490035</v>
      </c>
      <c r="R361" s="25">
        <f>P361*'Rate Codes'!$D$8</f>
        <v>25.40212037</v>
      </c>
      <c r="S361" s="81">
        <f t="shared" si="407"/>
        <v>78.89215537</v>
      </c>
      <c r="T361" s="66">
        <f>P361*'Rate Codes'!$D$8</f>
        <v>25.40212037</v>
      </c>
      <c r="U361" s="67">
        <f>(O361)*'Billing Rate'!$B$1</f>
        <v>-129.3651099</v>
      </c>
      <c r="V361" s="25">
        <f t="shared" si="408"/>
        <v>104.2942757</v>
      </c>
      <c r="W361" s="81">
        <f t="shared" si="409"/>
        <v>-25.07083413</v>
      </c>
      <c r="X361" s="25">
        <f t="shared" si="410"/>
        <v>5.214713787</v>
      </c>
      <c r="Y361" s="81">
        <f t="shared" si="411"/>
        <v>-19.85612034</v>
      </c>
    </row>
    <row r="362">
      <c r="A362" s="12"/>
      <c r="B362" s="80" t="s">
        <v>121</v>
      </c>
      <c r="C362" s="24">
        <v>30.0</v>
      </c>
      <c r="D362" s="22">
        <v>16.4667</v>
      </c>
      <c r="E362" s="23">
        <f t="shared" si="397"/>
        <v>0.6861125</v>
      </c>
      <c r="F362" s="22">
        <f t="shared" si="398"/>
        <v>7.5333</v>
      </c>
      <c r="G362" s="23">
        <f t="shared" si="399"/>
        <v>0.3138875</v>
      </c>
      <c r="H362" s="59">
        <v>0.1254860808</v>
      </c>
      <c r="I362" s="60">
        <f t="shared" si="400"/>
        <v>7304.940596</v>
      </c>
      <c r="J362" s="61">
        <f t="shared" si="401"/>
        <v>14.78729921</v>
      </c>
      <c r="K362" s="25">
        <v>4964.0</v>
      </c>
      <c r="L362" s="62">
        <f t="shared" si="402"/>
        <v>6.894444444</v>
      </c>
      <c r="M362" s="63">
        <f t="shared" si="403"/>
        <v>1</v>
      </c>
      <c r="N362" s="63">
        <f t="shared" si="404"/>
        <v>0.3138875</v>
      </c>
      <c r="O362" s="25">
        <f t="shared" si="405"/>
        <v>-2340.940596</v>
      </c>
      <c r="P362" s="25">
        <f t="shared" si="406"/>
        <v>1558.13755</v>
      </c>
      <c r="Q362" s="64">
        <f>C362*'Rate Codes'!$D$7</f>
        <v>51.76455</v>
      </c>
      <c r="R362" s="25">
        <f>P362*'Rate Codes'!$D$8</f>
        <v>20.18255569</v>
      </c>
      <c r="S362" s="81">
        <f t="shared" si="407"/>
        <v>71.94710569</v>
      </c>
      <c r="T362" s="66">
        <f>P362*'Rate Codes'!$D$8</f>
        <v>20.18255569</v>
      </c>
      <c r="U362" s="67">
        <f>(O362)*'Billing Rate'!$B$1</f>
        <v>-159.1839606</v>
      </c>
      <c r="V362" s="25">
        <f t="shared" si="408"/>
        <v>92.12966137</v>
      </c>
      <c r="W362" s="81">
        <f t="shared" si="409"/>
        <v>-67.05429918</v>
      </c>
      <c r="X362" s="25">
        <f t="shared" si="410"/>
        <v>4.606483069</v>
      </c>
      <c r="Y362" s="81">
        <f t="shared" si="411"/>
        <v>-62.44781611</v>
      </c>
    </row>
    <row r="363">
      <c r="A363" s="12"/>
      <c r="B363" s="80" t="s">
        <v>122</v>
      </c>
      <c r="C363" s="24">
        <v>31.0</v>
      </c>
      <c r="D363" s="22">
        <v>16.05</v>
      </c>
      <c r="E363" s="23">
        <f t="shared" si="397"/>
        <v>0.66875</v>
      </c>
      <c r="F363" s="22">
        <f t="shared" si="398"/>
        <v>7.95</v>
      </c>
      <c r="G363" s="23">
        <f t="shared" si="399"/>
        <v>0.33125</v>
      </c>
      <c r="H363" s="59">
        <v>0.1449493112</v>
      </c>
      <c r="I363" s="60">
        <f t="shared" si="400"/>
        <v>8437.956633</v>
      </c>
      <c r="J363" s="61">
        <f t="shared" si="401"/>
        <v>16.95901243</v>
      </c>
      <c r="K363" s="25">
        <v>6634.0</v>
      </c>
      <c r="L363" s="62">
        <f t="shared" si="402"/>
        <v>8.916666667</v>
      </c>
      <c r="M363" s="63">
        <f t="shared" si="403"/>
        <v>1</v>
      </c>
      <c r="N363" s="63">
        <f t="shared" si="404"/>
        <v>0.33125</v>
      </c>
      <c r="O363" s="25">
        <f t="shared" si="405"/>
        <v>-1803.956633</v>
      </c>
      <c r="P363" s="25">
        <f t="shared" si="406"/>
        <v>2197.5125</v>
      </c>
      <c r="Q363" s="64">
        <f>C363*'Rate Codes'!$D$7</f>
        <v>53.490035</v>
      </c>
      <c r="R363" s="25">
        <f>P363*'Rate Codes'!$D$8</f>
        <v>28.46437941</v>
      </c>
      <c r="S363" s="81">
        <f t="shared" si="407"/>
        <v>81.95441441</v>
      </c>
      <c r="T363" s="66">
        <f>P363*'Rate Codes'!$D$8</f>
        <v>28.46437941</v>
      </c>
      <c r="U363" s="67">
        <f>(O363)*'Billing Rate'!$B$1</f>
        <v>-122.669051</v>
      </c>
      <c r="V363" s="25">
        <f t="shared" si="408"/>
        <v>110.4187938</v>
      </c>
      <c r="W363" s="81">
        <f t="shared" si="409"/>
        <v>-12.2502572</v>
      </c>
      <c r="X363" s="25">
        <f t="shared" si="410"/>
        <v>5.520939691</v>
      </c>
      <c r="Y363" s="81">
        <f t="shared" si="411"/>
        <v>-6.729317509</v>
      </c>
    </row>
    <row r="364">
      <c r="A364" s="12"/>
      <c r="B364" s="80" t="s">
        <v>123</v>
      </c>
      <c r="C364" s="24">
        <v>31.0</v>
      </c>
      <c r="D364" s="22">
        <v>14.5167</v>
      </c>
      <c r="E364" s="23">
        <f t="shared" si="397"/>
        <v>0.6048625</v>
      </c>
      <c r="F364" s="22">
        <f t="shared" si="398"/>
        <v>9.4833</v>
      </c>
      <c r="G364" s="23">
        <f t="shared" si="399"/>
        <v>0.3951375</v>
      </c>
      <c r="H364" s="59">
        <v>0.1246952409</v>
      </c>
      <c r="I364" s="60">
        <f t="shared" si="400"/>
        <v>7258.903311</v>
      </c>
      <c r="J364" s="61">
        <f t="shared" si="401"/>
        <v>16.13026179</v>
      </c>
      <c r="K364" s="25">
        <v>5909.0</v>
      </c>
      <c r="L364" s="62">
        <f t="shared" si="402"/>
        <v>7.942204301</v>
      </c>
      <c r="M364" s="63">
        <f t="shared" si="403"/>
        <v>1</v>
      </c>
      <c r="N364" s="63">
        <f t="shared" si="404"/>
        <v>0.3951375</v>
      </c>
      <c r="O364" s="25">
        <f t="shared" si="405"/>
        <v>-1349.903311</v>
      </c>
      <c r="P364" s="25">
        <f t="shared" si="406"/>
        <v>2334.867488</v>
      </c>
      <c r="Q364" s="64">
        <f>C364*'Rate Codes'!$D$7</f>
        <v>53.490035</v>
      </c>
      <c r="R364" s="25">
        <f>P364*'Rate Codes'!$D$8</f>
        <v>30.24353857</v>
      </c>
      <c r="S364" s="81">
        <f t="shared" si="407"/>
        <v>83.73357357</v>
      </c>
      <c r="T364" s="66">
        <f>P364*'Rate Codes'!$D$8</f>
        <v>30.24353857</v>
      </c>
      <c r="U364" s="67">
        <f>(O364)*'Billing Rate'!$B$1</f>
        <v>-91.79342516</v>
      </c>
      <c r="V364" s="25">
        <f t="shared" si="408"/>
        <v>113.9771121</v>
      </c>
      <c r="W364" s="81">
        <f t="shared" si="409"/>
        <v>22.18368697</v>
      </c>
      <c r="X364" s="25">
        <f t="shared" si="410"/>
        <v>5.698855607</v>
      </c>
      <c r="Y364" s="81">
        <f t="shared" si="411"/>
        <v>27.88254258</v>
      </c>
    </row>
    <row r="365">
      <c r="A365" s="12"/>
      <c r="B365" s="80" t="s">
        <v>124</v>
      </c>
      <c r="C365" s="24">
        <v>30.0</v>
      </c>
      <c r="D365" s="22">
        <v>12.5833</v>
      </c>
      <c r="E365" s="23">
        <f t="shared" si="397"/>
        <v>0.5243041667</v>
      </c>
      <c r="F365" s="22">
        <f t="shared" si="398"/>
        <v>11.4167</v>
      </c>
      <c r="G365" s="23">
        <f t="shared" si="399"/>
        <v>0.4756958333</v>
      </c>
      <c r="H365" s="59">
        <v>0.09825803101</v>
      </c>
      <c r="I365" s="60">
        <f t="shared" si="400"/>
        <v>5719.90993</v>
      </c>
      <c r="J365" s="61">
        <f t="shared" si="401"/>
        <v>15.15211942</v>
      </c>
      <c r="K365" s="25">
        <v>5270.0</v>
      </c>
      <c r="L365" s="62">
        <f t="shared" si="402"/>
        <v>7.319444444</v>
      </c>
      <c r="M365" s="63">
        <f t="shared" si="403"/>
        <v>1</v>
      </c>
      <c r="N365" s="63">
        <f t="shared" si="404"/>
        <v>0.4756958333</v>
      </c>
      <c r="O365" s="25">
        <f t="shared" si="405"/>
        <v>-449.90993</v>
      </c>
      <c r="P365" s="25">
        <f t="shared" si="406"/>
        <v>2506.917042</v>
      </c>
      <c r="Q365" s="64">
        <f>C365*'Rate Codes'!$D$7</f>
        <v>51.76455</v>
      </c>
      <c r="R365" s="25">
        <f>P365*'Rate Codes'!$D$8</f>
        <v>32.47209644</v>
      </c>
      <c r="S365" s="81">
        <f t="shared" si="407"/>
        <v>84.23664644</v>
      </c>
      <c r="T365" s="66">
        <f>P365*'Rate Codes'!$D$8</f>
        <v>32.47209644</v>
      </c>
      <c r="U365" s="67">
        <f>(O365)*'Billing Rate'!$B$1</f>
        <v>-30.59387524</v>
      </c>
      <c r="V365" s="25">
        <f t="shared" si="408"/>
        <v>116.7087429</v>
      </c>
      <c r="W365" s="81">
        <f t="shared" si="409"/>
        <v>86.11486764</v>
      </c>
      <c r="X365" s="25">
        <f t="shared" si="410"/>
        <v>5.835437144</v>
      </c>
      <c r="Y365" s="81">
        <f t="shared" si="411"/>
        <v>91.95030479</v>
      </c>
    </row>
    <row r="366">
      <c r="A366" s="12"/>
      <c r="B366" s="80" t="s">
        <v>125</v>
      </c>
      <c r="C366" s="24">
        <v>31.0</v>
      </c>
      <c r="D366" s="22">
        <v>10.5833</v>
      </c>
      <c r="E366" s="23">
        <f t="shared" si="397"/>
        <v>0.4409708333</v>
      </c>
      <c r="F366" s="22">
        <f t="shared" si="398"/>
        <v>13.4167</v>
      </c>
      <c r="G366" s="23">
        <f t="shared" si="399"/>
        <v>0.5590291667</v>
      </c>
      <c r="H366" s="59">
        <v>0.06840443866</v>
      </c>
      <c r="I366" s="60">
        <f t="shared" si="400"/>
        <v>3982.038149</v>
      </c>
      <c r="J366" s="61">
        <f t="shared" si="401"/>
        <v>12.13731478</v>
      </c>
      <c r="K366" s="25">
        <v>5946.0</v>
      </c>
      <c r="L366" s="62">
        <f t="shared" si="402"/>
        <v>7.991935484</v>
      </c>
      <c r="M366" s="63">
        <f t="shared" si="403"/>
        <v>1</v>
      </c>
      <c r="N366" s="63">
        <f t="shared" si="404"/>
        <v>0.5590291667</v>
      </c>
      <c r="O366" s="25">
        <f t="shared" si="405"/>
        <v>1963.961851</v>
      </c>
      <c r="P366" s="25">
        <f t="shared" si="406"/>
        <v>3323.987425</v>
      </c>
      <c r="Q366" s="64">
        <f>C366*'Rate Codes'!$D$7</f>
        <v>53.490035</v>
      </c>
      <c r="R366" s="25">
        <f>P366*'Rate Codes'!$D$8</f>
        <v>43.05560912</v>
      </c>
      <c r="S366" s="81">
        <f t="shared" si="407"/>
        <v>96.54564412</v>
      </c>
      <c r="T366" s="66">
        <f>P366*'Rate Codes'!$D$8</f>
        <v>43.05560912</v>
      </c>
      <c r="U366" s="67">
        <f>(O366)*'Billing Rate'!$B$1</f>
        <v>133.5494059</v>
      </c>
      <c r="V366" s="25">
        <f t="shared" si="408"/>
        <v>139.6012532</v>
      </c>
      <c r="W366" s="81">
        <f t="shared" si="409"/>
        <v>273.1506591</v>
      </c>
      <c r="X366" s="25">
        <f t="shared" si="410"/>
        <v>13.65753295</v>
      </c>
      <c r="Y366" s="81">
        <f t="shared" si="411"/>
        <v>286.808192</v>
      </c>
    </row>
    <row r="367">
      <c r="A367" s="12"/>
      <c r="B367" s="80" t="s">
        <v>126</v>
      </c>
      <c r="C367" s="24">
        <v>30.0</v>
      </c>
      <c r="D367" s="22">
        <v>8.85</v>
      </c>
      <c r="E367" s="23">
        <f t="shared" si="397"/>
        <v>0.36875</v>
      </c>
      <c r="F367" s="22">
        <f t="shared" si="398"/>
        <v>15.15</v>
      </c>
      <c r="G367" s="23">
        <f t="shared" si="399"/>
        <v>0.63125</v>
      </c>
      <c r="H367" s="59">
        <v>0.0271408052</v>
      </c>
      <c r="I367" s="60">
        <f t="shared" si="400"/>
        <v>1579.951884</v>
      </c>
      <c r="J367" s="61">
        <f t="shared" si="401"/>
        <v>5.950854552</v>
      </c>
      <c r="K367" s="25">
        <v>5587.0</v>
      </c>
      <c r="L367" s="62">
        <f t="shared" si="402"/>
        <v>7.759722222</v>
      </c>
      <c r="M367" s="63">
        <f t="shared" si="403"/>
        <v>0.7668901517</v>
      </c>
      <c r="N367" s="63">
        <f t="shared" si="404"/>
        <v>0.7172092566</v>
      </c>
      <c r="O367" s="25">
        <f t="shared" si="405"/>
        <v>4007.048116</v>
      </c>
      <c r="P367" s="25">
        <f t="shared" si="406"/>
        <v>4007.048116</v>
      </c>
      <c r="Q367" s="64">
        <f>C367*'Rate Codes'!$D$7</f>
        <v>51.76455</v>
      </c>
      <c r="R367" s="25">
        <f>P367*'Rate Codes'!$D$8</f>
        <v>51.90329425</v>
      </c>
      <c r="S367" s="81">
        <f t="shared" si="407"/>
        <v>103.6678443</v>
      </c>
      <c r="T367" s="66">
        <f>P367*'Rate Codes'!$D$8</f>
        <v>51.90329425</v>
      </c>
      <c r="U367" s="67">
        <f>(O367)*'Billing Rate'!$B$1</f>
        <v>272.4792719</v>
      </c>
      <c r="V367" s="25">
        <f t="shared" si="408"/>
        <v>155.5711385</v>
      </c>
      <c r="W367" s="81">
        <f t="shared" si="409"/>
        <v>428.0504104</v>
      </c>
      <c r="X367" s="25">
        <f t="shared" si="410"/>
        <v>21.40252052</v>
      </c>
      <c r="Y367" s="81">
        <f t="shared" si="411"/>
        <v>449.4529309</v>
      </c>
    </row>
    <row r="368">
      <c r="A368" s="12"/>
      <c r="B368" s="80" t="s">
        <v>127</v>
      </c>
      <c r="C368" s="24">
        <v>31.0</v>
      </c>
      <c r="D368" s="22">
        <v>7.9667</v>
      </c>
      <c r="E368" s="23">
        <f t="shared" si="397"/>
        <v>0.3319458333</v>
      </c>
      <c r="F368" s="22">
        <f t="shared" si="398"/>
        <v>16.0333</v>
      </c>
      <c r="G368" s="23">
        <f t="shared" si="399"/>
        <v>0.6680541667</v>
      </c>
      <c r="H368" s="59">
        <v>0.01559005293</v>
      </c>
      <c r="I368" s="60">
        <f t="shared" si="400"/>
        <v>907.5461583</v>
      </c>
      <c r="J368" s="61">
        <f t="shared" si="401"/>
        <v>3.67475649</v>
      </c>
      <c r="K368" s="25">
        <v>5490.0</v>
      </c>
      <c r="L368" s="62">
        <f t="shared" si="402"/>
        <v>7.379032258</v>
      </c>
      <c r="M368" s="63">
        <f t="shared" si="403"/>
        <v>0.4979997866</v>
      </c>
      <c r="N368" s="63">
        <f t="shared" si="404"/>
        <v>0.8346910459</v>
      </c>
      <c r="O368" s="25">
        <f t="shared" si="405"/>
        <v>4582.453842</v>
      </c>
      <c r="P368" s="25">
        <f t="shared" si="406"/>
        <v>4582.453842</v>
      </c>
      <c r="Q368" s="64">
        <f>C368*'Rate Codes'!$D$7</f>
        <v>53.490035</v>
      </c>
      <c r="R368" s="25">
        <f>P368*'Rate Codes'!$D$8</f>
        <v>59.35652461</v>
      </c>
      <c r="S368" s="81">
        <f t="shared" si="407"/>
        <v>112.8465596</v>
      </c>
      <c r="T368" s="66">
        <f>P368*'Rate Codes'!$D$8</f>
        <v>59.35652461</v>
      </c>
      <c r="U368" s="67">
        <f>(O368)*'Billing Rate'!$B$1</f>
        <v>311.6068612</v>
      </c>
      <c r="V368" s="25">
        <f t="shared" si="408"/>
        <v>172.2030842</v>
      </c>
      <c r="W368" s="81">
        <f t="shared" si="409"/>
        <v>483.8099455</v>
      </c>
      <c r="X368" s="25">
        <f t="shared" si="410"/>
        <v>24.19049727</v>
      </c>
      <c r="Y368" s="81">
        <f t="shared" si="411"/>
        <v>508.0004427</v>
      </c>
    </row>
    <row r="369">
      <c r="A369" s="12"/>
      <c r="B369" s="77" t="s">
        <v>109</v>
      </c>
      <c r="C369" s="82"/>
      <c r="D369" s="83"/>
      <c r="E369" s="83"/>
      <c r="F369" s="83"/>
      <c r="G369" s="83"/>
      <c r="H369" s="83">
        <f t="shared" ref="H369:I369" si="412">SUM(H357:H368)</f>
        <v>1</v>
      </c>
      <c r="I369" s="84">
        <f t="shared" si="412"/>
        <v>58213.1544</v>
      </c>
      <c r="J369" s="84"/>
      <c r="K369" s="85">
        <f>SUM(K357:K368)</f>
        <v>66307</v>
      </c>
      <c r="L369" s="85"/>
      <c r="M369" s="85"/>
      <c r="N369" s="85"/>
      <c r="O369" s="85">
        <f t="shared" ref="O369:U369" si="413">SUM(O357:O368)</f>
        <v>8093.845602</v>
      </c>
      <c r="P369" s="48">
        <f t="shared" si="413"/>
        <v>34347.48021</v>
      </c>
      <c r="Q369" s="85">
        <f t="shared" si="413"/>
        <v>629.802025</v>
      </c>
      <c r="R369" s="85">
        <f t="shared" si="413"/>
        <v>444.9029111</v>
      </c>
      <c r="S369" s="85">
        <f t="shared" si="413"/>
        <v>1074.704936</v>
      </c>
      <c r="T369" s="85">
        <f t="shared" si="413"/>
        <v>444.9029111</v>
      </c>
      <c r="U369" s="85">
        <f t="shared" si="413"/>
        <v>550.3815009</v>
      </c>
      <c r="V369" s="48">
        <f t="shared" si="408"/>
        <v>1519.607847</v>
      </c>
      <c r="W369" s="85">
        <f t="shared" ref="W369:Y369" si="414">SUM(W357:W368)</f>
        <v>2069.989348</v>
      </c>
      <c r="X369" s="85">
        <f t="shared" si="414"/>
        <v>134.8718392</v>
      </c>
      <c r="Y369" s="85">
        <f t="shared" si="414"/>
        <v>2204.861187</v>
      </c>
    </row>
    <row r="371">
      <c r="A371" s="76">
        <v>23.0</v>
      </c>
      <c r="B371" s="12" t="s">
        <v>128</v>
      </c>
      <c r="C371" s="12"/>
      <c r="D371" s="15"/>
      <c r="E371" s="15"/>
      <c r="F371" s="15"/>
      <c r="G371" s="15"/>
      <c r="H371" s="15">
        <f>$H$1* POWER((1 -$O$1),A371)</f>
        <v>57922.08863</v>
      </c>
      <c r="I371" s="1" t="s">
        <v>132</v>
      </c>
      <c r="J371" s="1"/>
      <c r="K371" s="8">
        <f>H371/K385</f>
        <v>0.8735440998</v>
      </c>
      <c r="L371" s="8"/>
      <c r="M371" s="8"/>
      <c r="N371" s="8"/>
      <c r="O371" s="1" t="s">
        <v>133</v>
      </c>
      <c r="P371" s="6">
        <f>1-K371</f>
        <v>0.1264559002</v>
      </c>
      <c r="Q371" s="12" t="s">
        <v>74</v>
      </c>
      <c r="T371" s="12" t="s">
        <v>78</v>
      </c>
      <c r="U371" s="12"/>
      <c r="V371" s="12"/>
      <c r="W371" s="12"/>
      <c r="X371" s="12"/>
      <c r="Y371" s="12"/>
    </row>
    <row r="372">
      <c r="A372" s="12"/>
      <c r="B372" s="77" t="s">
        <v>83</v>
      </c>
      <c r="C372" s="20" t="s">
        <v>88</v>
      </c>
      <c r="D372" s="20" t="s">
        <v>84</v>
      </c>
      <c r="E372" s="20" t="s">
        <v>85</v>
      </c>
      <c r="F372" s="20" t="s">
        <v>86</v>
      </c>
      <c r="G372" s="20" t="s">
        <v>87</v>
      </c>
      <c r="H372" s="20" t="s">
        <v>134</v>
      </c>
      <c r="I372" s="44" t="s">
        <v>135</v>
      </c>
      <c r="J372" s="53" t="s">
        <v>92</v>
      </c>
      <c r="K372" s="20" t="s">
        <v>89</v>
      </c>
      <c r="L372" s="53" t="s">
        <v>90</v>
      </c>
      <c r="M372" s="53" t="s">
        <v>136</v>
      </c>
      <c r="N372" s="53" t="s">
        <v>137</v>
      </c>
      <c r="O372" s="20" t="s">
        <v>138</v>
      </c>
      <c r="P372" s="20" t="s">
        <v>139</v>
      </c>
      <c r="Q372" s="78" t="s">
        <v>76</v>
      </c>
      <c r="R372" s="78" t="s">
        <v>82</v>
      </c>
      <c r="S372" s="78" t="s">
        <v>109</v>
      </c>
      <c r="T372" s="78" t="s">
        <v>80</v>
      </c>
      <c r="U372" s="78" t="s">
        <v>67</v>
      </c>
      <c r="V372" s="45" t="s">
        <v>114</v>
      </c>
      <c r="W372" s="79" t="s">
        <v>115</v>
      </c>
      <c r="X372" s="79" t="s">
        <v>60</v>
      </c>
      <c r="Y372" s="79" t="s">
        <v>109</v>
      </c>
    </row>
    <row r="373">
      <c r="A373" s="12"/>
      <c r="B373" s="80" t="s">
        <v>117</v>
      </c>
      <c r="C373" s="24">
        <v>31.0</v>
      </c>
      <c r="D373" s="22">
        <v>8.45</v>
      </c>
      <c r="E373" s="23">
        <f t="shared" ref="E373:E384" si="415">D373/24</f>
        <v>0.3520833333</v>
      </c>
      <c r="F373" s="22">
        <f t="shared" ref="F373:F384" si="416">24-D373</f>
        <v>15.55</v>
      </c>
      <c r="G373" s="23">
        <f t="shared" ref="G373:G384" si="417">F373/24</f>
        <v>0.6479166667</v>
      </c>
      <c r="H373" s="59">
        <v>0.02731296772</v>
      </c>
      <c r="I373" s="60">
        <f t="shared" ref="I373:I384" si="418">H$371*H373</f>
        <v>1582.024137</v>
      </c>
      <c r="J373" s="61">
        <f t="shared" ref="J373:J384" si="419">I373/C373/D373</f>
        <v>6.039412624</v>
      </c>
      <c r="K373" s="25">
        <v>5726.0</v>
      </c>
      <c r="L373" s="62">
        <f t="shared" ref="L373:L384" si="420">K373/C373/24</f>
        <v>7.696236559</v>
      </c>
      <c r="M373" s="63">
        <f t="shared" ref="M373:M384" si="421">IF((J373/L373)&gt;1,1,J373/L373)</f>
        <v>0.7847228418</v>
      </c>
      <c r="N373" s="63">
        <f t="shared" ref="N373:N384" si="422">1-E373*M373</f>
        <v>0.7237121661</v>
      </c>
      <c r="O373" s="25">
        <f t="shared" ref="O373:O384" si="423">K373-I373</f>
        <v>4143.975863</v>
      </c>
      <c r="P373" s="25">
        <f t="shared" ref="P373:P384" si="424">K373*N373</f>
        <v>4143.975863</v>
      </c>
      <c r="Q373" s="64">
        <f>C373*'Rate Codes'!$D$7</f>
        <v>53.490035</v>
      </c>
      <c r="R373" s="25">
        <f>P373*'Rate Codes'!$D$8</f>
        <v>53.67691935</v>
      </c>
      <c r="S373" s="81">
        <f t="shared" ref="S373:S384" si="425">SUM(Q373:R373)</f>
        <v>107.1669544</v>
      </c>
      <c r="T373" s="66">
        <f>P373*'Rate Codes'!$D$8</f>
        <v>53.67691935</v>
      </c>
      <c r="U373" s="67">
        <f>(O373)*'Billing Rate'!$B$1</f>
        <v>281.7903587</v>
      </c>
      <c r="V373" s="25">
        <f t="shared" ref="V373:V385" si="426">S373+T373</f>
        <v>160.8438737</v>
      </c>
      <c r="W373" s="81">
        <f t="shared" ref="W373:W384" si="427">U373+S373+T373</f>
        <v>442.6342324</v>
      </c>
      <c r="X373" s="25">
        <f t="shared" ref="X373:X384" si="428">(IF(U373&gt;0,U373,0)+V373)*0.05</f>
        <v>22.13171162</v>
      </c>
      <c r="Y373" s="81">
        <f t="shared" ref="Y373:Y384" si="429">W373+X373</f>
        <v>464.765944</v>
      </c>
    </row>
    <row r="374">
      <c r="A374" s="12"/>
      <c r="B374" s="80" t="s">
        <v>118</v>
      </c>
      <c r="C374" s="24">
        <v>28.0</v>
      </c>
      <c r="D374" s="22">
        <v>9.9167</v>
      </c>
      <c r="E374" s="23">
        <f t="shared" si="415"/>
        <v>0.4131958333</v>
      </c>
      <c r="F374" s="22">
        <f t="shared" si="416"/>
        <v>14.0833</v>
      </c>
      <c r="G374" s="23">
        <f t="shared" si="417"/>
        <v>0.5868041667</v>
      </c>
      <c r="H374" s="59">
        <v>0.04620731865</v>
      </c>
      <c r="I374" s="60">
        <f t="shared" si="418"/>
        <v>2676.424406</v>
      </c>
      <c r="J374" s="61">
        <f t="shared" si="419"/>
        <v>9.638951055</v>
      </c>
      <c r="K374" s="25">
        <v>5279.0</v>
      </c>
      <c r="L374" s="62">
        <f t="shared" si="420"/>
        <v>7.855654762</v>
      </c>
      <c r="M374" s="63">
        <f t="shared" si="421"/>
        <v>1</v>
      </c>
      <c r="N374" s="63">
        <f t="shared" si="422"/>
        <v>0.5868041667</v>
      </c>
      <c r="O374" s="25">
        <f t="shared" si="423"/>
        <v>2602.575594</v>
      </c>
      <c r="P374" s="25">
        <f t="shared" si="424"/>
        <v>3097.739196</v>
      </c>
      <c r="Q374" s="64">
        <f>C374*'Rate Codes'!$D$7</f>
        <v>48.31358</v>
      </c>
      <c r="R374" s="25">
        <f>P374*'Rate Codes'!$D$8</f>
        <v>40.1250158</v>
      </c>
      <c r="S374" s="81">
        <f t="shared" si="425"/>
        <v>88.4385958</v>
      </c>
      <c r="T374" s="66">
        <f>P374*'Rate Codes'!$D$8</f>
        <v>40.1250158</v>
      </c>
      <c r="U374" s="67">
        <f>(O374)*'Billing Rate'!$B$1</f>
        <v>176.9751404</v>
      </c>
      <c r="V374" s="25">
        <f t="shared" si="426"/>
        <v>128.5636116</v>
      </c>
      <c r="W374" s="81">
        <f t="shared" si="427"/>
        <v>305.538752</v>
      </c>
      <c r="X374" s="25">
        <f t="shared" si="428"/>
        <v>15.2769376</v>
      </c>
      <c r="Y374" s="81">
        <f t="shared" si="429"/>
        <v>320.8156896</v>
      </c>
    </row>
    <row r="375">
      <c r="A375" s="12"/>
      <c r="B375" s="80" t="s">
        <v>119</v>
      </c>
      <c r="C375" s="24">
        <v>31.0</v>
      </c>
      <c r="D375" s="22">
        <v>11.8</v>
      </c>
      <c r="E375" s="23">
        <f t="shared" si="415"/>
        <v>0.4916666667</v>
      </c>
      <c r="F375" s="22">
        <f t="shared" si="416"/>
        <v>12.2</v>
      </c>
      <c r="G375" s="23">
        <f t="shared" si="417"/>
        <v>0.5083333333</v>
      </c>
      <c r="H375" s="59">
        <v>0.08500831624</v>
      </c>
      <c r="I375" s="60">
        <f t="shared" si="418"/>
        <v>4923.859227</v>
      </c>
      <c r="J375" s="61">
        <f t="shared" si="419"/>
        <v>13.46052276</v>
      </c>
      <c r="K375" s="25">
        <v>4991.0</v>
      </c>
      <c r="L375" s="62">
        <f t="shared" si="420"/>
        <v>6.708333333</v>
      </c>
      <c r="M375" s="63">
        <f t="shared" si="421"/>
        <v>1</v>
      </c>
      <c r="N375" s="63">
        <f t="shared" si="422"/>
        <v>0.5083333333</v>
      </c>
      <c r="O375" s="25">
        <f t="shared" si="423"/>
        <v>67.14077282</v>
      </c>
      <c r="P375" s="25">
        <f t="shared" si="424"/>
        <v>2537.091667</v>
      </c>
      <c r="Q375" s="64">
        <f>C375*'Rate Codes'!$D$7</f>
        <v>53.490035</v>
      </c>
      <c r="R375" s="25">
        <f>P375*'Rate Codes'!$D$8</f>
        <v>32.86294836</v>
      </c>
      <c r="S375" s="81">
        <f t="shared" si="425"/>
        <v>86.35298336</v>
      </c>
      <c r="T375" s="66">
        <f>P375*'Rate Codes'!$D$8</f>
        <v>32.86294836</v>
      </c>
      <c r="U375" s="67">
        <f>(O375)*'Billing Rate'!$B$1</f>
        <v>4.565572552</v>
      </c>
      <c r="V375" s="25">
        <f t="shared" si="426"/>
        <v>119.2159317</v>
      </c>
      <c r="W375" s="81">
        <f t="shared" si="427"/>
        <v>123.7815043</v>
      </c>
      <c r="X375" s="25">
        <f t="shared" si="428"/>
        <v>6.189075213</v>
      </c>
      <c r="Y375" s="81">
        <f t="shared" si="429"/>
        <v>129.9705795</v>
      </c>
    </row>
    <row r="376">
      <c r="A376" s="12"/>
      <c r="B376" s="80" t="s">
        <v>120</v>
      </c>
      <c r="C376" s="24">
        <v>30.0</v>
      </c>
      <c r="D376" s="22">
        <v>13.8</v>
      </c>
      <c r="E376" s="23">
        <f t="shared" si="415"/>
        <v>0.575</v>
      </c>
      <c r="F376" s="22">
        <f t="shared" si="416"/>
        <v>10.2</v>
      </c>
      <c r="G376" s="23">
        <f t="shared" si="417"/>
        <v>0.425</v>
      </c>
      <c r="H376" s="59">
        <v>0.108773175</v>
      </c>
      <c r="I376" s="60">
        <f t="shared" si="418"/>
        <v>6300.369482</v>
      </c>
      <c r="J376" s="61">
        <f t="shared" si="419"/>
        <v>15.21828377</v>
      </c>
      <c r="K376" s="25">
        <v>4952.0</v>
      </c>
      <c r="L376" s="62">
        <f t="shared" si="420"/>
        <v>6.877777778</v>
      </c>
      <c r="M376" s="63">
        <f t="shared" si="421"/>
        <v>1</v>
      </c>
      <c r="N376" s="63">
        <f t="shared" si="422"/>
        <v>0.425</v>
      </c>
      <c r="O376" s="25">
        <f t="shared" si="423"/>
        <v>-1348.369482</v>
      </c>
      <c r="P376" s="25">
        <f t="shared" si="424"/>
        <v>2104.6</v>
      </c>
      <c r="Q376" s="64">
        <f>C376*'Rate Codes'!$D$7</f>
        <v>51.76455</v>
      </c>
      <c r="R376" s="25">
        <f>P376*'Rate Codes'!$D$8</f>
        <v>27.2608838</v>
      </c>
      <c r="S376" s="81">
        <f t="shared" si="425"/>
        <v>79.0254338</v>
      </c>
      <c r="T376" s="66">
        <f>P376*'Rate Codes'!$D$8</f>
        <v>27.2608838</v>
      </c>
      <c r="U376" s="67">
        <f>(O376)*'Billing Rate'!$B$1</f>
        <v>-91.68912481</v>
      </c>
      <c r="V376" s="25">
        <f t="shared" si="426"/>
        <v>106.2863176</v>
      </c>
      <c r="W376" s="81">
        <f t="shared" si="427"/>
        <v>14.59719279</v>
      </c>
      <c r="X376" s="25">
        <f t="shared" si="428"/>
        <v>5.31431588</v>
      </c>
      <c r="Y376" s="81">
        <f t="shared" si="429"/>
        <v>19.91150867</v>
      </c>
    </row>
    <row r="377">
      <c r="A377" s="12"/>
      <c r="B377" s="80" t="s">
        <v>98</v>
      </c>
      <c r="C377" s="24">
        <v>31.0</v>
      </c>
      <c r="D377" s="22">
        <v>15.5333</v>
      </c>
      <c r="E377" s="23">
        <f t="shared" si="415"/>
        <v>0.6472208333</v>
      </c>
      <c r="F377" s="22">
        <f t="shared" si="416"/>
        <v>8.4667</v>
      </c>
      <c r="G377" s="23">
        <f t="shared" si="417"/>
        <v>0.3527791667</v>
      </c>
      <c r="H377" s="59">
        <v>0.1281742617</v>
      </c>
      <c r="I377" s="60">
        <f t="shared" si="418"/>
        <v>7424.120946</v>
      </c>
      <c r="J377" s="61">
        <f t="shared" si="419"/>
        <v>15.41770084</v>
      </c>
      <c r="K377" s="25">
        <v>5559.0</v>
      </c>
      <c r="L377" s="62">
        <f t="shared" si="420"/>
        <v>7.471774194</v>
      </c>
      <c r="M377" s="63">
        <f t="shared" si="421"/>
        <v>1</v>
      </c>
      <c r="N377" s="63">
        <f t="shared" si="422"/>
        <v>0.3527791667</v>
      </c>
      <c r="O377" s="25">
        <f t="shared" si="423"/>
        <v>-1865.120946</v>
      </c>
      <c r="P377" s="25">
        <f t="shared" si="424"/>
        <v>1961.099388</v>
      </c>
      <c r="Q377" s="64">
        <f>C377*'Rate Codes'!$D$7</f>
        <v>53.490035</v>
      </c>
      <c r="R377" s="25">
        <f>P377*'Rate Codes'!$D$8</f>
        <v>25.40212037</v>
      </c>
      <c r="S377" s="81">
        <f t="shared" si="425"/>
        <v>78.89215537</v>
      </c>
      <c r="T377" s="66">
        <f>P377*'Rate Codes'!$D$8</f>
        <v>25.40212037</v>
      </c>
      <c r="U377" s="67">
        <f>(O377)*'Billing Rate'!$B$1</f>
        <v>-126.8282243</v>
      </c>
      <c r="V377" s="25">
        <f t="shared" si="426"/>
        <v>104.2942757</v>
      </c>
      <c r="W377" s="81">
        <f t="shared" si="427"/>
        <v>-22.53394858</v>
      </c>
      <c r="X377" s="25">
        <f t="shared" si="428"/>
        <v>5.214713787</v>
      </c>
      <c r="Y377" s="81">
        <f t="shared" si="429"/>
        <v>-17.31923479</v>
      </c>
    </row>
    <row r="378">
      <c r="A378" s="12"/>
      <c r="B378" s="80" t="s">
        <v>121</v>
      </c>
      <c r="C378" s="24">
        <v>30.0</v>
      </c>
      <c r="D378" s="22">
        <v>16.4667</v>
      </c>
      <c r="E378" s="23">
        <f t="shared" si="415"/>
        <v>0.6861125</v>
      </c>
      <c r="F378" s="22">
        <f t="shared" si="416"/>
        <v>7.5333</v>
      </c>
      <c r="G378" s="23">
        <f t="shared" si="417"/>
        <v>0.3138875</v>
      </c>
      <c r="H378" s="59">
        <v>0.1254860808</v>
      </c>
      <c r="I378" s="60">
        <f t="shared" si="418"/>
        <v>7268.415893</v>
      </c>
      <c r="J378" s="61">
        <f t="shared" si="419"/>
        <v>14.71336271</v>
      </c>
      <c r="K378" s="25">
        <v>4964.0</v>
      </c>
      <c r="L378" s="62">
        <f t="shared" si="420"/>
        <v>6.894444444</v>
      </c>
      <c r="M378" s="63">
        <f t="shared" si="421"/>
        <v>1</v>
      </c>
      <c r="N378" s="63">
        <f t="shared" si="422"/>
        <v>0.3138875</v>
      </c>
      <c r="O378" s="25">
        <f t="shared" si="423"/>
        <v>-2304.415893</v>
      </c>
      <c r="P378" s="25">
        <f t="shared" si="424"/>
        <v>1558.13755</v>
      </c>
      <c r="Q378" s="64">
        <f>C378*'Rate Codes'!$D$7</f>
        <v>51.76455</v>
      </c>
      <c r="R378" s="25">
        <f>P378*'Rate Codes'!$D$8</f>
        <v>20.18255569</v>
      </c>
      <c r="S378" s="81">
        <f t="shared" si="425"/>
        <v>71.94710569</v>
      </c>
      <c r="T378" s="66">
        <f>P378*'Rate Codes'!$D$8</f>
        <v>20.18255569</v>
      </c>
      <c r="U378" s="67">
        <f>(O378)*'Billing Rate'!$B$1</f>
        <v>-156.7002808</v>
      </c>
      <c r="V378" s="25">
        <f t="shared" si="426"/>
        <v>92.12966137</v>
      </c>
      <c r="W378" s="81">
        <f t="shared" si="427"/>
        <v>-64.57061938</v>
      </c>
      <c r="X378" s="25">
        <f t="shared" si="428"/>
        <v>4.606483069</v>
      </c>
      <c r="Y378" s="81">
        <f t="shared" si="429"/>
        <v>-59.96413631</v>
      </c>
    </row>
    <row r="379">
      <c r="A379" s="12"/>
      <c r="B379" s="80" t="s">
        <v>122</v>
      </c>
      <c r="C379" s="24">
        <v>31.0</v>
      </c>
      <c r="D379" s="22">
        <v>16.05</v>
      </c>
      <c r="E379" s="23">
        <f t="shared" si="415"/>
        <v>0.66875</v>
      </c>
      <c r="F379" s="22">
        <f t="shared" si="416"/>
        <v>7.95</v>
      </c>
      <c r="G379" s="23">
        <f t="shared" si="417"/>
        <v>0.33125</v>
      </c>
      <c r="H379" s="59">
        <v>0.1449493112</v>
      </c>
      <c r="I379" s="60">
        <f t="shared" si="418"/>
        <v>8395.76685</v>
      </c>
      <c r="J379" s="61">
        <f t="shared" si="419"/>
        <v>16.87421736</v>
      </c>
      <c r="K379" s="25">
        <v>6634.0</v>
      </c>
      <c r="L379" s="62">
        <f t="shared" si="420"/>
        <v>8.916666667</v>
      </c>
      <c r="M379" s="63">
        <f t="shared" si="421"/>
        <v>1</v>
      </c>
      <c r="N379" s="63">
        <f t="shared" si="422"/>
        <v>0.33125</v>
      </c>
      <c r="O379" s="25">
        <f t="shared" si="423"/>
        <v>-1761.76685</v>
      </c>
      <c r="P379" s="25">
        <f t="shared" si="424"/>
        <v>2197.5125</v>
      </c>
      <c r="Q379" s="64">
        <f>C379*'Rate Codes'!$D$7</f>
        <v>53.490035</v>
      </c>
      <c r="R379" s="25">
        <f>P379*'Rate Codes'!$D$8</f>
        <v>28.46437941</v>
      </c>
      <c r="S379" s="81">
        <f t="shared" si="425"/>
        <v>81.95441441</v>
      </c>
      <c r="T379" s="66">
        <f>P379*'Rate Codes'!$D$8</f>
        <v>28.46437941</v>
      </c>
      <c r="U379" s="67">
        <f>(O379)*'Billing Rate'!$B$1</f>
        <v>-119.8001458</v>
      </c>
      <c r="V379" s="25">
        <f t="shared" si="426"/>
        <v>110.4187938</v>
      </c>
      <c r="W379" s="81">
        <f t="shared" si="427"/>
        <v>-9.381351945</v>
      </c>
      <c r="X379" s="25">
        <f t="shared" si="428"/>
        <v>5.520939691</v>
      </c>
      <c r="Y379" s="81">
        <f t="shared" si="429"/>
        <v>-3.860412254</v>
      </c>
    </row>
    <row r="380">
      <c r="A380" s="12"/>
      <c r="B380" s="80" t="s">
        <v>123</v>
      </c>
      <c r="C380" s="24">
        <v>31.0</v>
      </c>
      <c r="D380" s="22">
        <v>14.5167</v>
      </c>
      <c r="E380" s="23">
        <f t="shared" si="415"/>
        <v>0.6048625</v>
      </c>
      <c r="F380" s="22">
        <f t="shared" si="416"/>
        <v>9.4833</v>
      </c>
      <c r="G380" s="23">
        <f t="shared" si="417"/>
        <v>0.3951375</v>
      </c>
      <c r="H380" s="59">
        <v>0.1246952409</v>
      </c>
      <c r="I380" s="60">
        <f t="shared" si="418"/>
        <v>7222.608795</v>
      </c>
      <c r="J380" s="61">
        <f t="shared" si="419"/>
        <v>16.04961048</v>
      </c>
      <c r="K380" s="25">
        <v>5909.0</v>
      </c>
      <c r="L380" s="62">
        <f t="shared" si="420"/>
        <v>7.942204301</v>
      </c>
      <c r="M380" s="63">
        <f t="shared" si="421"/>
        <v>1</v>
      </c>
      <c r="N380" s="63">
        <f t="shared" si="422"/>
        <v>0.3951375</v>
      </c>
      <c r="O380" s="25">
        <f t="shared" si="423"/>
        <v>-1313.608795</v>
      </c>
      <c r="P380" s="25">
        <f t="shared" si="424"/>
        <v>2334.867488</v>
      </c>
      <c r="Q380" s="64">
        <f>C380*'Rate Codes'!$D$7</f>
        <v>53.490035</v>
      </c>
      <c r="R380" s="25">
        <f>P380*'Rate Codes'!$D$8</f>
        <v>30.24353857</v>
      </c>
      <c r="S380" s="81">
        <f t="shared" si="425"/>
        <v>83.73357357</v>
      </c>
      <c r="T380" s="66">
        <f>P380*'Rate Codes'!$D$8</f>
        <v>30.24353857</v>
      </c>
      <c r="U380" s="67">
        <f>(O380)*'Billing Rate'!$B$1</f>
        <v>-89.32539803</v>
      </c>
      <c r="V380" s="25">
        <f t="shared" si="426"/>
        <v>113.9771121</v>
      </c>
      <c r="W380" s="81">
        <f t="shared" si="427"/>
        <v>24.6517141</v>
      </c>
      <c r="X380" s="25">
        <f t="shared" si="428"/>
        <v>5.698855607</v>
      </c>
      <c r="Y380" s="81">
        <f t="shared" si="429"/>
        <v>30.3505697</v>
      </c>
    </row>
    <row r="381">
      <c r="A381" s="12"/>
      <c r="B381" s="80" t="s">
        <v>124</v>
      </c>
      <c r="C381" s="24">
        <v>30.0</v>
      </c>
      <c r="D381" s="22">
        <v>12.5833</v>
      </c>
      <c r="E381" s="23">
        <f t="shared" si="415"/>
        <v>0.5243041667</v>
      </c>
      <c r="F381" s="22">
        <f t="shared" si="416"/>
        <v>11.4167</v>
      </c>
      <c r="G381" s="23">
        <f t="shared" si="417"/>
        <v>0.4756958333</v>
      </c>
      <c r="H381" s="59">
        <v>0.09825803101</v>
      </c>
      <c r="I381" s="60">
        <f t="shared" si="418"/>
        <v>5691.31038</v>
      </c>
      <c r="J381" s="61">
        <f t="shared" si="419"/>
        <v>15.07635883</v>
      </c>
      <c r="K381" s="25">
        <v>5270.0</v>
      </c>
      <c r="L381" s="62">
        <f t="shared" si="420"/>
        <v>7.319444444</v>
      </c>
      <c r="M381" s="63">
        <f t="shared" si="421"/>
        <v>1</v>
      </c>
      <c r="N381" s="63">
        <f t="shared" si="422"/>
        <v>0.4756958333</v>
      </c>
      <c r="O381" s="25">
        <f t="shared" si="423"/>
        <v>-421.3103803</v>
      </c>
      <c r="P381" s="25">
        <f t="shared" si="424"/>
        <v>2506.917042</v>
      </c>
      <c r="Q381" s="64">
        <f>C381*'Rate Codes'!$D$7</f>
        <v>51.76455</v>
      </c>
      <c r="R381" s="25">
        <f>P381*'Rate Codes'!$D$8</f>
        <v>32.47209644</v>
      </c>
      <c r="S381" s="81">
        <f t="shared" si="425"/>
        <v>84.23664644</v>
      </c>
      <c r="T381" s="66">
        <f>P381*'Rate Codes'!$D$8</f>
        <v>32.47209644</v>
      </c>
      <c r="U381" s="67">
        <f>(O381)*'Billing Rate'!$B$1</f>
        <v>-28.64910586</v>
      </c>
      <c r="V381" s="25">
        <f t="shared" si="426"/>
        <v>116.7087429</v>
      </c>
      <c r="W381" s="81">
        <f t="shared" si="427"/>
        <v>88.05963702</v>
      </c>
      <c r="X381" s="25">
        <f t="shared" si="428"/>
        <v>5.835437144</v>
      </c>
      <c r="Y381" s="81">
        <f t="shared" si="429"/>
        <v>93.89507416</v>
      </c>
    </row>
    <row r="382">
      <c r="A382" s="12"/>
      <c r="B382" s="80" t="s">
        <v>125</v>
      </c>
      <c r="C382" s="24">
        <v>31.0</v>
      </c>
      <c r="D382" s="22">
        <v>10.5833</v>
      </c>
      <c r="E382" s="23">
        <f t="shared" si="415"/>
        <v>0.4409708333</v>
      </c>
      <c r="F382" s="22">
        <f t="shared" si="416"/>
        <v>13.4167</v>
      </c>
      <c r="G382" s="23">
        <f t="shared" si="417"/>
        <v>0.5590291667</v>
      </c>
      <c r="H382" s="59">
        <v>0.06840443866</v>
      </c>
      <c r="I382" s="60">
        <f t="shared" si="418"/>
        <v>3962.127958</v>
      </c>
      <c r="J382" s="61">
        <f t="shared" si="419"/>
        <v>12.07662821</v>
      </c>
      <c r="K382" s="25">
        <v>5946.0</v>
      </c>
      <c r="L382" s="62">
        <f t="shared" si="420"/>
        <v>7.991935484</v>
      </c>
      <c r="M382" s="63">
        <f t="shared" si="421"/>
        <v>1</v>
      </c>
      <c r="N382" s="63">
        <f t="shared" si="422"/>
        <v>0.5590291667</v>
      </c>
      <c r="O382" s="25">
        <f t="shared" si="423"/>
        <v>1983.872042</v>
      </c>
      <c r="P382" s="25">
        <f t="shared" si="424"/>
        <v>3323.987425</v>
      </c>
      <c r="Q382" s="64">
        <f>C382*'Rate Codes'!$D$7</f>
        <v>53.490035</v>
      </c>
      <c r="R382" s="25">
        <f>P382*'Rate Codes'!$D$8</f>
        <v>43.05560912</v>
      </c>
      <c r="S382" s="81">
        <f t="shared" si="425"/>
        <v>96.54564412</v>
      </c>
      <c r="T382" s="66">
        <f>P382*'Rate Codes'!$D$8</f>
        <v>43.05560912</v>
      </c>
      <c r="U382" s="67">
        <f>(O382)*'Billing Rate'!$B$1</f>
        <v>134.9032988</v>
      </c>
      <c r="V382" s="25">
        <f t="shared" si="426"/>
        <v>139.6012532</v>
      </c>
      <c r="W382" s="81">
        <f t="shared" si="427"/>
        <v>274.5045521</v>
      </c>
      <c r="X382" s="25">
        <f t="shared" si="428"/>
        <v>13.7252276</v>
      </c>
      <c r="Y382" s="81">
        <f t="shared" si="429"/>
        <v>288.2297797</v>
      </c>
    </row>
    <row r="383">
      <c r="A383" s="12"/>
      <c r="B383" s="80" t="s">
        <v>126</v>
      </c>
      <c r="C383" s="24">
        <v>30.0</v>
      </c>
      <c r="D383" s="22">
        <v>8.85</v>
      </c>
      <c r="E383" s="23">
        <f t="shared" si="415"/>
        <v>0.36875</v>
      </c>
      <c r="F383" s="22">
        <f t="shared" si="416"/>
        <v>15.15</v>
      </c>
      <c r="G383" s="23">
        <f t="shared" si="417"/>
        <v>0.63125</v>
      </c>
      <c r="H383" s="59">
        <v>0.0271408052</v>
      </c>
      <c r="I383" s="60">
        <f t="shared" si="418"/>
        <v>1572.052124</v>
      </c>
      <c r="J383" s="61">
        <f t="shared" si="419"/>
        <v>5.921100279</v>
      </c>
      <c r="K383" s="25">
        <v>5587.0</v>
      </c>
      <c r="L383" s="62">
        <f t="shared" si="420"/>
        <v>7.759722222</v>
      </c>
      <c r="M383" s="63">
        <f t="shared" si="421"/>
        <v>0.7630557009</v>
      </c>
      <c r="N383" s="63">
        <f t="shared" si="422"/>
        <v>0.7186232103</v>
      </c>
      <c r="O383" s="25">
        <f t="shared" si="423"/>
        <v>4014.947876</v>
      </c>
      <c r="P383" s="25">
        <f t="shared" si="424"/>
        <v>4014.947876</v>
      </c>
      <c r="Q383" s="64">
        <f>C383*'Rate Codes'!$D$7</f>
        <v>51.76455</v>
      </c>
      <c r="R383" s="25">
        <f>P383*'Rate Codes'!$D$8</f>
        <v>52.00561984</v>
      </c>
      <c r="S383" s="81">
        <f t="shared" si="425"/>
        <v>103.7701698</v>
      </c>
      <c r="T383" s="66">
        <f>P383*'Rate Codes'!$D$8</f>
        <v>52.00561984</v>
      </c>
      <c r="U383" s="67">
        <f>(O383)*'Billing Rate'!$B$1</f>
        <v>273.0164556</v>
      </c>
      <c r="V383" s="25">
        <f t="shared" si="426"/>
        <v>155.7757897</v>
      </c>
      <c r="W383" s="81">
        <f t="shared" si="427"/>
        <v>428.7922452</v>
      </c>
      <c r="X383" s="25">
        <f t="shared" si="428"/>
        <v>21.43961226</v>
      </c>
      <c r="Y383" s="81">
        <f t="shared" si="429"/>
        <v>450.2318575</v>
      </c>
    </row>
    <row r="384">
      <c r="A384" s="12"/>
      <c r="B384" s="80" t="s">
        <v>127</v>
      </c>
      <c r="C384" s="24">
        <v>31.0</v>
      </c>
      <c r="D384" s="22">
        <v>7.9667</v>
      </c>
      <c r="E384" s="23">
        <f t="shared" si="415"/>
        <v>0.3319458333</v>
      </c>
      <c r="F384" s="22">
        <f t="shared" si="416"/>
        <v>16.0333</v>
      </c>
      <c r="G384" s="23">
        <f t="shared" si="417"/>
        <v>0.6680541667</v>
      </c>
      <c r="H384" s="59">
        <v>0.01559005293</v>
      </c>
      <c r="I384" s="60">
        <f t="shared" si="418"/>
        <v>903.0084275</v>
      </c>
      <c r="J384" s="61">
        <f t="shared" si="419"/>
        <v>3.656382707</v>
      </c>
      <c r="K384" s="25">
        <v>5490.0</v>
      </c>
      <c r="L384" s="62">
        <f t="shared" si="420"/>
        <v>7.379032258</v>
      </c>
      <c r="M384" s="63">
        <f t="shared" si="421"/>
        <v>0.4955097876</v>
      </c>
      <c r="N384" s="63">
        <f t="shared" si="422"/>
        <v>0.8355175906</v>
      </c>
      <c r="O384" s="25">
        <f t="shared" si="423"/>
        <v>4586.991573</v>
      </c>
      <c r="P384" s="25">
        <f t="shared" si="424"/>
        <v>4586.991573</v>
      </c>
      <c r="Q384" s="64">
        <f>C384*'Rate Codes'!$D$7</f>
        <v>53.490035</v>
      </c>
      <c r="R384" s="25">
        <f>P384*'Rate Codes'!$D$8</f>
        <v>59.41530184</v>
      </c>
      <c r="S384" s="81">
        <f t="shared" si="425"/>
        <v>112.9053368</v>
      </c>
      <c r="T384" s="66">
        <f>P384*'Rate Codes'!$D$8</f>
        <v>59.41530184</v>
      </c>
      <c r="U384" s="67">
        <f>(O384)*'Billing Rate'!$B$1</f>
        <v>311.9154269</v>
      </c>
      <c r="V384" s="25">
        <f t="shared" si="426"/>
        <v>172.3206387</v>
      </c>
      <c r="W384" s="81">
        <f t="shared" si="427"/>
        <v>484.2360656</v>
      </c>
      <c r="X384" s="25">
        <f t="shared" si="428"/>
        <v>24.21180328</v>
      </c>
      <c r="Y384" s="81">
        <f t="shared" si="429"/>
        <v>508.4478689</v>
      </c>
    </row>
    <row r="385">
      <c r="A385" s="12"/>
      <c r="B385" s="77" t="s">
        <v>109</v>
      </c>
      <c r="C385" s="82"/>
      <c r="D385" s="83"/>
      <c r="E385" s="83"/>
      <c r="F385" s="83"/>
      <c r="G385" s="83"/>
      <c r="H385" s="83">
        <f t="shared" ref="H385:I385" si="430">SUM(H373:H384)</f>
        <v>1</v>
      </c>
      <c r="I385" s="84">
        <f t="shared" si="430"/>
        <v>57922.08863</v>
      </c>
      <c r="J385" s="84"/>
      <c r="K385" s="85">
        <f>SUM(K373:K384)</f>
        <v>66307</v>
      </c>
      <c r="L385" s="85"/>
      <c r="M385" s="85"/>
      <c r="N385" s="85"/>
      <c r="O385" s="85">
        <f t="shared" ref="O385:U385" si="431">SUM(O373:O384)</f>
        <v>8384.911374</v>
      </c>
      <c r="P385" s="48">
        <f t="shared" si="431"/>
        <v>34367.86757</v>
      </c>
      <c r="Q385" s="85">
        <f t="shared" si="431"/>
        <v>629.802025</v>
      </c>
      <c r="R385" s="85">
        <f t="shared" si="431"/>
        <v>445.1669886</v>
      </c>
      <c r="S385" s="85">
        <f t="shared" si="431"/>
        <v>1074.969014</v>
      </c>
      <c r="T385" s="85">
        <f t="shared" si="431"/>
        <v>445.1669886</v>
      </c>
      <c r="U385" s="85">
        <f t="shared" si="431"/>
        <v>570.1739734</v>
      </c>
      <c r="V385" s="48">
        <f t="shared" si="426"/>
        <v>1520.136002</v>
      </c>
      <c r="W385" s="85">
        <f t="shared" ref="W385:Y385" si="432">SUM(W373:W384)</f>
        <v>2090.309976</v>
      </c>
      <c r="X385" s="85">
        <f t="shared" si="432"/>
        <v>135.1651128</v>
      </c>
      <c r="Y385" s="85">
        <f t="shared" si="432"/>
        <v>2225.475088</v>
      </c>
    </row>
    <row r="387">
      <c r="A387" s="76">
        <v>24.0</v>
      </c>
      <c r="B387" s="12" t="s">
        <v>128</v>
      </c>
      <c r="C387" s="12"/>
      <c r="D387" s="15"/>
      <c r="E387" s="15"/>
      <c r="F387" s="15"/>
      <c r="G387" s="15"/>
      <c r="H387" s="15">
        <f>$H$1* POWER((1 -$O$1),A387)</f>
        <v>57632.47818</v>
      </c>
      <c r="I387" s="1" t="s">
        <v>132</v>
      </c>
      <c r="J387" s="1"/>
      <c r="K387" s="8">
        <f>H387/K401</f>
        <v>0.8691763793</v>
      </c>
      <c r="L387" s="8"/>
      <c r="M387" s="8"/>
      <c r="N387" s="8"/>
      <c r="O387" s="1" t="s">
        <v>133</v>
      </c>
      <c r="P387" s="6">
        <f>1-K387</f>
        <v>0.1308236207</v>
      </c>
      <c r="Q387" s="12" t="s">
        <v>74</v>
      </c>
      <c r="T387" s="12" t="s">
        <v>78</v>
      </c>
      <c r="U387" s="12"/>
      <c r="V387" s="12"/>
      <c r="W387" s="12"/>
      <c r="X387" s="12"/>
      <c r="Y387" s="12"/>
    </row>
    <row r="388">
      <c r="A388" s="12"/>
      <c r="B388" s="77" t="s">
        <v>83</v>
      </c>
      <c r="C388" s="20" t="s">
        <v>88</v>
      </c>
      <c r="D388" s="20" t="s">
        <v>84</v>
      </c>
      <c r="E388" s="20" t="s">
        <v>85</v>
      </c>
      <c r="F388" s="20" t="s">
        <v>86</v>
      </c>
      <c r="G388" s="20" t="s">
        <v>87</v>
      </c>
      <c r="H388" s="20" t="s">
        <v>134</v>
      </c>
      <c r="I388" s="44" t="s">
        <v>135</v>
      </c>
      <c r="J388" s="53" t="s">
        <v>92</v>
      </c>
      <c r="K388" s="20" t="s">
        <v>89</v>
      </c>
      <c r="L388" s="53" t="s">
        <v>90</v>
      </c>
      <c r="M388" s="53" t="s">
        <v>136</v>
      </c>
      <c r="N388" s="53" t="s">
        <v>137</v>
      </c>
      <c r="O388" s="20" t="s">
        <v>138</v>
      </c>
      <c r="P388" s="20" t="s">
        <v>139</v>
      </c>
      <c r="Q388" s="78" t="s">
        <v>76</v>
      </c>
      <c r="R388" s="78" t="s">
        <v>82</v>
      </c>
      <c r="S388" s="78" t="s">
        <v>109</v>
      </c>
      <c r="T388" s="78" t="s">
        <v>80</v>
      </c>
      <c r="U388" s="78" t="s">
        <v>67</v>
      </c>
      <c r="V388" s="45" t="s">
        <v>114</v>
      </c>
      <c r="W388" s="79" t="s">
        <v>115</v>
      </c>
      <c r="X388" s="79" t="s">
        <v>60</v>
      </c>
      <c r="Y388" s="79" t="s">
        <v>109</v>
      </c>
    </row>
    <row r="389">
      <c r="A389" s="12"/>
      <c r="B389" s="80" t="s">
        <v>117</v>
      </c>
      <c r="C389" s="24">
        <v>31.0</v>
      </c>
      <c r="D389" s="22">
        <v>8.45</v>
      </c>
      <c r="E389" s="23">
        <f t="shared" ref="E389:E400" si="433">D389/24</f>
        <v>0.3520833333</v>
      </c>
      <c r="F389" s="22">
        <f t="shared" ref="F389:F400" si="434">24-D389</f>
        <v>15.55</v>
      </c>
      <c r="G389" s="23">
        <f t="shared" ref="G389:G400" si="435">F389/24</f>
        <v>0.6479166667</v>
      </c>
      <c r="H389" s="59">
        <v>0.02731296772</v>
      </c>
      <c r="I389" s="60">
        <f t="shared" ref="I389:I400" si="436">H$387*H389</f>
        <v>1574.114016</v>
      </c>
      <c r="J389" s="61">
        <f t="shared" ref="J389:J400" si="437">I389/C389/D389</f>
        <v>6.009215561</v>
      </c>
      <c r="K389" s="25">
        <v>5726.0</v>
      </c>
      <c r="L389" s="62">
        <f t="shared" ref="L389:L400" si="438">K389/C389/24</f>
        <v>7.696236559</v>
      </c>
      <c r="M389" s="63">
        <f t="shared" ref="M389:M400" si="439">IF((J389/L389)&gt;1,1,J389/L389)</f>
        <v>0.7807992276</v>
      </c>
      <c r="N389" s="63">
        <f t="shared" ref="N389:N400" si="440">1-E389*M389</f>
        <v>0.7250936053</v>
      </c>
      <c r="O389" s="25">
        <f t="shared" ref="O389:O400" si="441">K389-I389</f>
        <v>4151.885984</v>
      </c>
      <c r="P389" s="25">
        <f t="shared" ref="P389:P400" si="442">K389*N389</f>
        <v>4151.885984</v>
      </c>
      <c r="Q389" s="64">
        <f>C389*'Rate Codes'!$D$7</f>
        <v>53.490035</v>
      </c>
      <c r="R389" s="25">
        <f>P389*'Rate Codes'!$D$8</f>
        <v>53.77937915</v>
      </c>
      <c r="S389" s="81">
        <f t="shared" ref="S389:S400" si="443">SUM(Q389:R389)</f>
        <v>107.2694141</v>
      </c>
      <c r="T389" s="66">
        <f>P389*'Rate Codes'!$D$8</f>
        <v>53.77937915</v>
      </c>
      <c r="U389" s="67">
        <f>(O389)*'Billing Rate'!$B$1</f>
        <v>282.3282469</v>
      </c>
      <c r="V389" s="25">
        <f t="shared" ref="V389:V401" si="444">S389+T389</f>
        <v>161.0487933</v>
      </c>
      <c r="W389" s="81">
        <f t="shared" ref="W389:W400" si="445">U389+S389+T389</f>
        <v>443.3770402</v>
      </c>
      <c r="X389" s="25">
        <f t="shared" ref="X389:X400" si="446">(IF(U389&gt;0,U389,0)+V389)*0.05</f>
        <v>22.16885201</v>
      </c>
      <c r="Y389" s="81">
        <f t="shared" ref="Y389:Y400" si="447">W389+X389</f>
        <v>465.5458922</v>
      </c>
    </row>
    <row r="390">
      <c r="A390" s="12"/>
      <c r="B390" s="80" t="s">
        <v>118</v>
      </c>
      <c r="C390" s="24">
        <v>28.0</v>
      </c>
      <c r="D390" s="22">
        <v>9.9167</v>
      </c>
      <c r="E390" s="23">
        <f t="shared" si="433"/>
        <v>0.4131958333</v>
      </c>
      <c r="F390" s="22">
        <f t="shared" si="434"/>
        <v>14.0833</v>
      </c>
      <c r="G390" s="23">
        <f t="shared" si="435"/>
        <v>0.5868041667</v>
      </c>
      <c r="H390" s="59">
        <v>0.04620731865</v>
      </c>
      <c r="I390" s="60">
        <f t="shared" si="436"/>
        <v>2663.042284</v>
      </c>
      <c r="J390" s="61">
        <f t="shared" si="437"/>
        <v>9.5907563</v>
      </c>
      <c r="K390" s="25">
        <v>5279.0</v>
      </c>
      <c r="L390" s="62">
        <f t="shared" si="438"/>
        <v>7.855654762</v>
      </c>
      <c r="M390" s="63">
        <f t="shared" si="439"/>
        <v>1</v>
      </c>
      <c r="N390" s="63">
        <f t="shared" si="440"/>
        <v>0.5868041667</v>
      </c>
      <c r="O390" s="25">
        <f t="shared" si="441"/>
        <v>2615.957716</v>
      </c>
      <c r="P390" s="25">
        <f t="shared" si="442"/>
        <v>3097.739196</v>
      </c>
      <c r="Q390" s="64">
        <f>C390*'Rate Codes'!$D$7</f>
        <v>48.31358</v>
      </c>
      <c r="R390" s="25">
        <f>P390*'Rate Codes'!$D$8</f>
        <v>40.1250158</v>
      </c>
      <c r="S390" s="81">
        <f t="shared" si="443"/>
        <v>88.4385958</v>
      </c>
      <c r="T390" s="66">
        <f>P390*'Rate Codes'!$D$8</f>
        <v>40.1250158</v>
      </c>
      <c r="U390" s="67">
        <f>(O390)*'Billing Rate'!$B$1</f>
        <v>177.8851247</v>
      </c>
      <c r="V390" s="25">
        <f t="shared" si="444"/>
        <v>128.5636116</v>
      </c>
      <c r="W390" s="81">
        <f t="shared" si="445"/>
        <v>306.4487363</v>
      </c>
      <c r="X390" s="25">
        <f t="shared" si="446"/>
        <v>15.32243681</v>
      </c>
      <c r="Y390" s="81">
        <f t="shared" si="447"/>
        <v>321.7711731</v>
      </c>
    </row>
    <row r="391">
      <c r="A391" s="12"/>
      <c r="B391" s="80" t="s">
        <v>119</v>
      </c>
      <c r="C391" s="24">
        <v>31.0</v>
      </c>
      <c r="D391" s="22">
        <v>11.8</v>
      </c>
      <c r="E391" s="23">
        <f t="shared" si="433"/>
        <v>0.4916666667</v>
      </c>
      <c r="F391" s="22">
        <f t="shared" si="434"/>
        <v>12.2</v>
      </c>
      <c r="G391" s="23">
        <f t="shared" si="435"/>
        <v>0.5083333333</v>
      </c>
      <c r="H391" s="59">
        <v>0.08500831624</v>
      </c>
      <c r="I391" s="60">
        <f t="shared" si="436"/>
        <v>4899.239931</v>
      </c>
      <c r="J391" s="61">
        <f t="shared" si="437"/>
        <v>13.39322015</v>
      </c>
      <c r="K391" s="25">
        <v>4991.0</v>
      </c>
      <c r="L391" s="62">
        <f t="shared" si="438"/>
        <v>6.708333333</v>
      </c>
      <c r="M391" s="63">
        <f t="shared" si="439"/>
        <v>1</v>
      </c>
      <c r="N391" s="63">
        <f t="shared" si="440"/>
        <v>0.5083333333</v>
      </c>
      <c r="O391" s="25">
        <f t="shared" si="441"/>
        <v>91.76006896</v>
      </c>
      <c r="P391" s="25">
        <f t="shared" si="442"/>
        <v>2537.091667</v>
      </c>
      <c r="Q391" s="64">
        <f>C391*'Rate Codes'!$D$7</f>
        <v>53.490035</v>
      </c>
      <c r="R391" s="25">
        <f>P391*'Rate Codes'!$D$8</f>
        <v>32.86294836</v>
      </c>
      <c r="S391" s="81">
        <f t="shared" si="443"/>
        <v>86.35298336</v>
      </c>
      <c r="T391" s="66">
        <f>P391*'Rate Codes'!$D$8</f>
        <v>32.86294836</v>
      </c>
      <c r="U391" s="67">
        <f>(O391)*'Billing Rate'!$B$1</f>
        <v>6.239684689</v>
      </c>
      <c r="V391" s="25">
        <f t="shared" si="444"/>
        <v>119.2159317</v>
      </c>
      <c r="W391" s="81">
        <f t="shared" si="445"/>
        <v>125.4556164</v>
      </c>
      <c r="X391" s="25">
        <f t="shared" si="446"/>
        <v>6.27278082</v>
      </c>
      <c r="Y391" s="81">
        <f t="shared" si="447"/>
        <v>131.7283972</v>
      </c>
    </row>
    <row r="392">
      <c r="A392" s="12"/>
      <c r="B392" s="80" t="s">
        <v>120</v>
      </c>
      <c r="C392" s="24">
        <v>30.0</v>
      </c>
      <c r="D392" s="22">
        <v>13.8</v>
      </c>
      <c r="E392" s="23">
        <f t="shared" si="433"/>
        <v>0.575</v>
      </c>
      <c r="F392" s="22">
        <f t="shared" si="434"/>
        <v>10.2</v>
      </c>
      <c r="G392" s="23">
        <f t="shared" si="435"/>
        <v>0.425</v>
      </c>
      <c r="H392" s="59">
        <v>0.108773175</v>
      </c>
      <c r="I392" s="60">
        <f t="shared" si="436"/>
        <v>6268.867635</v>
      </c>
      <c r="J392" s="61">
        <f t="shared" si="437"/>
        <v>15.14219236</v>
      </c>
      <c r="K392" s="25">
        <v>4952.0</v>
      </c>
      <c r="L392" s="62">
        <f t="shared" si="438"/>
        <v>6.877777778</v>
      </c>
      <c r="M392" s="63">
        <f t="shared" si="439"/>
        <v>1</v>
      </c>
      <c r="N392" s="63">
        <f t="shared" si="440"/>
        <v>0.425</v>
      </c>
      <c r="O392" s="25">
        <f t="shared" si="441"/>
        <v>-1316.867635</v>
      </c>
      <c r="P392" s="25">
        <f t="shared" si="442"/>
        <v>2104.6</v>
      </c>
      <c r="Q392" s="64">
        <f>C392*'Rate Codes'!$D$7</f>
        <v>51.76455</v>
      </c>
      <c r="R392" s="25">
        <f>P392*'Rate Codes'!$D$8</f>
        <v>27.2608838</v>
      </c>
      <c r="S392" s="81">
        <f t="shared" si="443"/>
        <v>79.0254338</v>
      </c>
      <c r="T392" s="66">
        <f>P392*'Rate Codes'!$D$8</f>
        <v>27.2608838</v>
      </c>
      <c r="U392" s="67">
        <f>(O392)*'Billing Rate'!$B$1</f>
        <v>-89.54699918</v>
      </c>
      <c r="V392" s="25">
        <f t="shared" si="444"/>
        <v>106.2863176</v>
      </c>
      <c r="W392" s="81">
        <f t="shared" si="445"/>
        <v>16.73931842</v>
      </c>
      <c r="X392" s="25">
        <f t="shared" si="446"/>
        <v>5.31431588</v>
      </c>
      <c r="Y392" s="81">
        <f t="shared" si="447"/>
        <v>22.0536343</v>
      </c>
    </row>
    <row r="393">
      <c r="A393" s="12"/>
      <c r="B393" s="80" t="s">
        <v>98</v>
      </c>
      <c r="C393" s="24">
        <v>31.0</v>
      </c>
      <c r="D393" s="22">
        <v>15.5333</v>
      </c>
      <c r="E393" s="23">
        <f t="shared" si="433"/>
        <v>0.6472208333</v>
      </c>
      <c r="F393" s="22">
        <f t="shared" si="434"/>
        <v>8.4667</v>
      </c>
      <c r="G393" s="23">
        <f t="shared" si="435"/>
        <v>0.3527791667</v>
      </c>
      <c r="H393" s="59">
        <v>0.1281742617</v>
      </c>
      <c r="I393" s="60">
        <f t="shared" si="436"/>
        <v>7387.000341</v>
      </c>
      <c r="J393" s="61">
        <f t="shared" si="437"/>
        <v>15.34061233</v>
      </c>
      <c r="K393" s="25">
        <v>5559.0</v>
      </c>
      <c r="L393" s="62">
        <f t="shared" si="438"/>
        <v>7.471774194</v>
      </c>
      <c r="M393" s="63">
        <f t="shared" si="439"/>
        <v>1</v>
      </c>
      <c r="N393" s="63">
        <f t="shared" si="440"/>
        <v>0.3527791667</v>
      </c>
      <c r="O393" s="25">
        <f t="shared" si="441"/>
        <v>-1828.000341</v>
      </c>
      <c r="P393" s="25">
        <f t="shared" si="442"/>
        <v>1961.099388</v>
      </c>
      <c r="Q393" s="64">
        <f>C393*'Rate Codes'!$D$7</f>
        <v>53.490035</v>
      </c>
      <c r="R393" s="25">
        <f>P393*'Rate Codes'!$D$8</f>
        <v>25.40212037</v>
      </c>
      <c r="S393" s="81">
        <f t="shared" si="443"/>
        <v>78.89215537</v>
      </c>
      <c r="T393" s="66">
        <f>P393*'Rate Codes'!$D$8</f>
        <v>25.40212037</v>
      </c>
      <c r="U393" s="67">
        <f>(O393)*'Billing Rate'!$B$1</f>
        <v>-124.3040232</v>
      </c>
      <c r="V393" s="25">
        <f t="shared" si="444"/>
        <v>104.2942757</v>
      </c>
      <c r="W393" s="81">
        <f t="shared" si="445"/>
        <v>-20.00974746</v>
      </c>
      <c r="X393" s="25">
        <f t="shared" si="446"/>
        <v>5.214713787</v>
      </c>
      <c r="Y393" s="81">
        <f t="shared" si="447"/>
        <v>-14.79503367</v>
      </c>
    </row>
    <row r="394">
      <c r="A394" s="12"/>
      <c r="B394" s="80" t="s">
        <v>121</v>
      </c>
      <c r="C394" s="24">
        <v>30.0</v>
      </c>
      <c r="D394" s="22">
        <v>16.4667</v>
      </c>
      <c r="E394" s="23">
        <f t="shared" si="433"/>
        <v>0.6861125</v>
      </c>
      <c r="F394" s="22">
        <f t="shared" si="434"/>
        <v>7.5333</v>
      </c>
      <c r="G394" s="23">
        <f t="shared" si="435"/>
        <v>0.3138875</v>
      </c>
      <c r="H394" s="59">
        <v>0.1254860808</v>
      </c>
      <c r="I394" s="60">
        <f t="shared" si="436"/>
        <v>7232.073814</v>
      </c>
      <c r="J394" s="61">
        <f t="shared" si="437"/>
        <v>14.6397959</v>
      </c>
      <c r="K394" s="25">
        <v>4964.0</v>
      </c>
      <c r="L394" s="62">
        <f t="shared" si="438"/>
        <v>6.894444444</v>
      </c>
      <c r="M394" s="63">
        <f t="shared" si="439"/>
        <v>1</v>
      </c>
      <c r="N394" s="63">
        <f t="shared" si="440"/>
        <v>0.3138875</v>
      </c>
      <c r="O394" s="25">
        <f t="shared" si="441"/>
        <v>-2268.073814</v>
      </c>
      <c r="P394" s="25">
        <f t="shared" si="442"/>
        <v>1558.13755</v>
      </c>
      <c r="Q394" s="64">
        <f>C394*'Rate Codes'!$D$7</f>
        <v>51.76455</v>
      </c>
      <c r="R394" s="25">
        <f>P394*'Rate Codes'!$D$8</f>
        <v>20.18255569</v>
      </c>
      <c r="S394" s="81">
        <f t="shared" si="443"/>
        <v>71.94710569</v>
      </c>
      <c r="T394" s="66">
        <f>P394*'Rate Codes'!$D$8</f>
        <v>20.18255569</v>
      </c>
      <c r="U394" s="67">
        <f>(O394)*'Billing Rate'!$B$1</f>
        <v>-154.2290193</v>
      </c>
      <c r="V394" s="25">
        <f t="shared" si="444"/>
        <v>92.12966137</v>
      </c>
      <c r="W394" s="81">
        <f t="shared" si="445"/>
        <v>-62.09935798</v>
      </c>
      <c r="X394" s="25">
        <f t="shared" si="446"/>
        <v>4.606483069</v>
      </c>
      <c r="Y394" s="81">
        <f t="shared" si="447"/>
        <v>-57.49287491</v>
      </c>
    </row>
    <row r="395">
      <c r="A395" s="12"/>
      <c r="B395" s="80" t="s">
        <v>122</v>
      </c>
      <c r="C395" s="24">
        <v>31.0</v>
      </c>
      <c r="D395" s="22">
        <v>16.05</v>
      </c>
      <c r="E395" s="23">
        <f t="shared" si="433"/>
        <v>0.66875</v>
      </c>
      <c r="F395" s="22">
        <f t="shared" si="434"/>
        <v>7.95</v>
      </c>
      <c r="G395" s="23">
        <f t="shared" si="435"/>
        <v>0.33125</v>
      </c>
      <c r="H395" s="59">
        <v>0.1449493112</v>
      </c>
      <c r="I395" s="60">
        <f t="shared" si="436"/>
        <v>8353.788015</v>
      </c>
      <c r="J395" s="61">
        <f t="shared" si="437"/>
        <v>16.78984628</v>
      </c>
      <c r="K395" s="25">
        <v>6634.0</v>
      </c>
      <c r="L395" s="62">
        <f t="shared" si="438"/>
        <v>8.916666667</v>
      </c>
      <c r="M395" s="63">
        <f t="shared" si="439"/>
        <v>1</v>
      </c>
      <c r="N395" s="63">
        <f t="shared" si="440"/>
        <v>0.33125</v>
      </c>
      <c r="O395" s="25">
        <f t="shared" si="441"/>
        <v>-1719.788015</v>
      </c>
      <c r="P395" s="25">
        <f t="shared" si="442"/>
        <v>2197.5125</v>
      </c>
      <c r="Q395" s="64">
        <f>C395*'Rate Codes'!$D$7</f>
        <v>53.490035</v>
      </c>
      <c r="R395" s="25">
        <f>P395*'Rate Codes'!$D$8</f>
        <v>28.46437941</v>
      </c>
      <c r="S395" s="81">
        <f t="shared" si="443"/>
        <v>81.95441441</v>
      </c>
      <c r="T395" s="66">
        <f>P395*'Rate Codes'!$D$8</f>
        <v>28.46437941</v>
      </c>
      <c r="U395" s="67">
        <f>(O395)*'Billing Rate'!$B$1</f>
        <v>-116.945585</v>
      </c>
      <c r="V395" s="25">
        <f t="shared" si="444"/>
        <v>110.4187938</v>
      </c>
      <c r="W395" s="81">
        <f t="shared" si="445"/>
        <v>-6.526791216</v>
      </c>
      <c r="X395" s="25">
        <f t="shared" si="446"/>
        <v>5.520939691</v>
      </c>
      <c r="Y395" s="81">
        <f t="shared" si="447"/>
        <v>-1.005851525</v>
      </c>
    </row>
    <row r="396">
      <c r="A396" s="12"/>
      <c r="B396" s="80" t="s">
        <v>123</v>
      </c>
      <c r="C396" s="24">
        <v>31.0</v>
      </c>
      <c r="D396" s="22">
        <v>14.5167</v>
      </c>
      <c r="E396" s="23">
        <f t="shared" si="433"/>
        <v>0.6048625</v>
      </c>
      <c r="F396" s="22">
        <f t="shared" si="434"/>
        <v>9.4833</v>
      </c>
      <c r="G396" s="23">
        <f t="shared" si="435"/>
        <v>0.3951375</v>
      </c>
      <c r="H396" s="59">
        <v>0.1246952409</v>
      </c>
      <c r="I396" s="60">
        <f t="shared" si="436"/>
        <v>7186.495751</v>
      </c>
      <c r="J396" s="61">
        <f t="shared" si="437"/>
        <v>15.96936243</v>
      </c>
      <c r="K396" s="25">
        <v>5909.0</v>
      </c>
      <c r="L396" s="62">
        <f t="shared" si="438"/>
        <v>7.942204301</v>
      </c>
      <c r="M396" s="63">
        <f t="shared" si="439"/>
        <v>1</v>
      </c>
      <c r="N396" s="63">
        <f t="shared" si="440"/>
        <v>0.3951375</v>
      </c>
      <c r="O396" s="25">
        <f t="shared" si="441"/>
        <v>-1277.495751</v>
      </c>
      <c r="P396" s="25">
        <f t="shared" si="442"/>
        <v>2334.867488</v>
      </c>
      <c r="Q396" s="64">
        <f>C396*'Rate Codes'!$D$7</f>
        <v>53.490035</v>
      </c>
      <c r="R396" s="25">
        <f>P396*'Rate Codes'!$D$8</f>
        <v>30.24353857</v>
      </c>
      <c r="S396" s="81">
        <f t="shared" si="443"/>
        <v>83.73357357</v>
      </c>
      <c r="T396" s="66">
        <f>P396*'Rate Codes'!$D$8</f>
        <v>30.24353857</v>
      </c>
      <c r="U396" s="67">
        <f>(O396)*'Billing Rate'!$B$1</f>
        <v>-86.86971104</v>
      </c>
      <c r="V396" s="25">
        <f t="shared" si="444"/>
        <v>113.9771121</v>
      </c>
      <c r="W396" s="81">
        <f t="shared" si="445"/>
        <v>27.10740109</v>
      </c>
      <c r="X396" s="25">
        <f t="shared" si="446"/>
        <v>5.698855607</v>
      </c>
      <c r="Y396" s="81">
        <f t="shared" si="447"/>
        <v>32.80625669</v>
      </c>
    </row>
    <row r="397">
      <c r="A397" s="12"/>
      <c r="B397" s="80" t="s">
        <v>124</v>
      </c>
      <c r="C397" s="24">
        <v>30.0</v>
      </c>
      <c r="D397" s="22">
        <v>12.5833</v>
      </c>
      <c r="E397" s="23">
        <f t="shared" si="433"/>
        <v>0.5243041667</v>
      </c>
      <c r="F397" s="22">
        <f t="shared" si="434"/>
        <v>11.4167</v>
      </c>
      <c r="G397" s="23">
        <f t="shared" si="435"/>
        <v>0.4756958333</v>
      </c>
      <c r="H397" s="59">
        <v>0.09825803101</v>
      </c>
      <c r="I397" s="60">
        <f t="shared" si="436"/>
        <v>5662.853828</v>
      </c>
      <c r="J397" s="61">
        <f t="shared" si="437"/>
        <v>15.00097703</v>
      </c>
      <c r="K397" s="25">
        <v>5270.0</v>
      </c>
      <c r="L397" s="62">
        <f t="shared" si="438"/>
        <v>7.319444444</v>
      </c>
      <c r="M397" s="63">
        <f t="shared" si="439"/>
        <v>1</v>
      </c>
      <c r="N397" s="63">
        <f t="shared" si="440"/>
        <v>0.4756958333</v>
      </c>
      <c r="O397" s="25">
        <f t="shared" si="441"/>
        <v>-392.8538284</v>
      </c>
      <c r="P397" s="25">
        <f t="shared" si="442"/>
        <v>2506.917042</v>
      </c>
      <c r="Q397" s="64">
        <f>C397*'Rate Codes'!$D$7</f>
        <v>51.76455</v>
      </c>
      <c r="R397" s="25">
        <f>P397*'Rate Codes'!$D$8</f>
        <v>32.47209644</v>
      </c>
      <c r="S397" s="81">
        <f t="shared" si="443"/>
        <v>84.23664644</v>
      </c>
      <c r="T397" s="66">
        <f>P397*'Rate Codes'!$D$8</f>
        <v>32.47209644</v>
      </c>
      <c r="U397" s="67">
        <f>(O397)*'Billing Rate'!$B$1</f>
        <v>-26.71406033</v>
      </c>
      <c r="V397" s="25">
        <f t="shared" si="444"/>
        <v>116.7087429</v>
      </c>
      <c r="W397" s="81">
        <f t="shared" si="445"/>
        <v>89.99468255</v>
      </c>
      <c r="X397" s="25">
        <f t="shared" si="446"/>
        <v>5.835437144</v>
      </c>
      <c r="Y397" s="81">
        <f t="shared" si="447"/>
        <v>95.83011969</v>
      </c>
    </row>
    <row r="398">
      <c r="A398" s="12"/>
      <c r="B398" s="80" t="s">
        <v>125</v>
      </c>
      <c r="C398" s="24">
        <v>31.0</v>
      </c>
      <c r="D398" s="22">
        <v>10.5833</v>
      </c>
      <c r="E398" s="23">
        <f t="shared" si="433"/>
        <v>0.4409708333</v>
      </c>
      <c r="F398" s="22">
        <f t="shared" si="434"/>
        <v>13.4167</v>
      </c>
      <c r="G398" s="23">
        <f t="shared" si="435"/>
        <v>0.5590291667</v>
      </c>
      <c r="H398" s="59">
        <v>0.06840443866</v>
      </c>
      <c r="I398" s="60">
        <f t="shared" si="436"/>
        <v>3942.317319</v>
      </c>
      <c r="J398" s="61">
        <f t="shared" si="437"/>
        <v>12.01624507</v>
      </c>
      <c r="K398" s="25">
        <v>5946.0</v>
      </c>
      <c r="L398" s="62">
        <f t="shared" si="438"/>
        <v>7.991935484</v>
      </c>
      <c r="M398" s="63">
        <f t="shared" si="439"/>
        <v>1</v>
      </c>
      <c r="N398" s="63">
        <f t="shared" si="440"/>
        <v>0.5590291667</v>
      </c>
      <c r="O398" s="25">
        <f t="shared" si="441"/>
        <v>2003.682681</v>
      </c>
      <c r="P398" s="25">
        <f t="shared" si="442"/>
        <v>3323.987425</v>
      </c>
      <c r="Q398" s="64">
        <f>C398*'Rate Codes'!$D$7</f>
        <v>53.490035</v>
      </c>
      <c r="R398" s="25">
        <f>P398*'Rate Codes'!$D$8</f>
        <v>43.05560912</v>
      </c>
      <c r="S398" s="81">
        <f t="shared" si="443"/>
        <v>96.54564412</v>
      </c>
      <c r="T398" s="66">
        <f>P398*'Rate Codes'!$D$8</f>
        <v>43.05560912</v>
      </c>
      <c r="U398" s="67">
        <f>(O398)*'Billing Rate'!$B$1</f>
        <v>136.2504223</v>
      </c>
      <c r="V398" s="25">
        <f t="shared" si="444"/>
        <v>139.6012532</v>
      </c>
      <c r="W398" s="81">
        <f t="shared" si="445"/>
        <v>275.8516756</v>
      </c>
      <c r="X398" s="25">
        <f t="shared" si="446"/>
        <v>13.79258378</v>
      </c>
      <c r="Y398" s="81">
        <f t="shared" si="447"/>
        <v>289.6442593</v>
      </c>
    </row>
    <row r="399">
      <c r="A399" s="12"/>
      <c r="B399" s="80" t="s">
        <v>126</v>
      </c>
      <c r="C399" s="24">
        <v>30.0</v>
      </c>
      <c r="D399" s="22">
        <v>8.85</v>
      </c>
      <c r="E399" s="23">
        <f t="shared" si="433"/>
        <v>0.36875</v>
      </c>
      <c r="F399" s="22">
        <f t="shared" si="434"/>
        <v>15.15</v>
      </c>
      <c r="G399" s="23">
        <f t="shared" si="435"/>
        <v>0.63125</v>
      </c>
      <c r="H399" s="59">
        <v>0.0271408052</v>
      </c>
      <c r="I399" s="60">
        <f t="shared" si="436"/>
        <v>1564.191864</v>
      </c>
      <c r="J399" s="61">
        <f t="shared" si="437"/>
        <v>5.891494778</v>
      </c>
      <c r="K399" s="25">
        <v>5587.0</v>
      </c>
      <c r="L399" s="62">
        <f t="shared" si="438"/>
        <v>7.759722222</v>
      </c>
      <c r="M399" s="63">
        <f t="shared" si="439"/>
        <v>0.7592404224</v>
      </c>
      <c r="N399" s="63">
        <f t="shared" si="440"/>
        <v>0.7200300942</v>
      </c>
      <c r="O399" s="25">
        <f t="shared" si="441"/>
        <v>4022.808136</v>
      </c>
      <c r="P399" s="25">
        <f t="shared" si="442"/>
        <v>4022.808136</v>
      </c>
      <c r="Q399" s="64">
        <f>C399*'Rate Codes'!$D$7</f>
        <v>51.76455</v>
      </c>
      <c r="R399" s="25">
        <f>P399*'Rate Codes'!$D$8</f>
        <v>52.10743379</v>
      </c>
      <c r="S399" s="81">
        <f t="shared" si="443"/>
        <v>103.8719838</v>
      </c>
      <c r="T399" s="66">
        <f>P399*'Rate Codes'!$D$8</f>
        <v>52.10743379</v>
      </c>
      <c r="U399" s="67">
        <f>(O399)*'Billing Rate'!$B$1</f>
        <v>273.5509533</v>
      </c>
      <c r="V399" s="25">
        <f t="shared" si="444"/>
        <v>155.9794176</v>
      </c>
      <c r="W399" s="81">
        <f t="shared" si="445"/>
        <v>429.5303709</v>
      </c>
      <c r="X399" s="25">
        <f t="shared" si="446"/>
        <v>21.47651854</v>
      </c>
      <c r="Y399" s="81">
        <f t="shared" si="447"/>
        <v>451.0068894</v>
      </c>
    </row>
    <row r="400">
      <c r="A400" s="12"/>
      <c r="B400" s="80" t="s">
        <v>127</v>
      </c>
      <c r="C400" s="24">
        <v>31.0</v>
      </c>
      <c r="D400" s="22">
        <v>7.9667</v>
      </c>
      <c r="E400" s="23">
        <f t="shared" si="433"/>
        <v>0.3319458333</v>
      </c>
      <c r="F400" s="22">
        <f t="shared" si="434"/>
        <v>16.0333</v>
      </c>
      <c r="G400" s="23">
        <f t="shared" si="435"/>
        <v>0.6680541667</v>
      </c>
      <c r="H400" s="59">
        <v>0.01559005293</v>
      </c>
      <c r="I400" s="60">
        <f t="shared" si="436"/>
        <v>898.4933854</v>
      </c>
      <c r="J400" s="61">
        <f t="shared" si="437"/>
        <v>3.638100794</v>
      </c>
      <c r="K400" s="25">
        <v>5490.0</v>
      </c>
      <c r="L400" s="62">
        <f t="shared" si="438"/>
        <v>7.379032258</v>
      </c>
      <c r="M400" s="63">
        <f t="shared" si="439"/>
        <v>0.4930322387</v>
      </c>
      <c r="N400" s="63">
        <f t="shared" si="440"/>
        <v>0.8363400027</v>
      </c>
      <c r="O400" s="25">
        <f t="shared" si="441"/>
        <v>4591.506615</v>
      </c>
      <c r="P400" s="25">
        <f t="shared" si="442"/>
        <v>4591.506615</v>
      </c>
      <c r="Q400" s="64">
        <f>C400*'Rate Codes'!$D$7</f>
        <v>53.490035</v>
      </c>
      <c r="R400" s="25">
        <f>P400*'Rate Codes'!$D$8</f>
        <v>59.47378518</v>
      </c>
      <c r="S400" s="81">
        <f t="shared" si="443"/>
        <v>112.9638202</v>
      </c>
      <c r="T400" s="66">
        <f>P400*'Rate Codes'!$D$8</f>
        <v>59.47378518</v>
      </c>
      <c r="U400" s="67">
        <f>(O400)*'Billing Rate'!$B$1</f>
        <v>312.2224498</v>
      </c>
      <c r="V400" s="25">
        <f t="shared" si="444"/>
        <v>172.4376054</v>
      </c>
      <c r="W400" s="81">
        <f t="shared" si="445"/>
        <v>484.6600552</v>
      </c>
      <c r="X400" s="25">
        <f t="shared" si="446"/>
        <v>24.23300276</v>
      </c>
      <c r="Y400" s="81">
        <f t="shared" si="447"/>
        <v>508.8930579</v>
      </c>
    </row>
    <row r="401">
      <c r="A401" s="12"/>
      <c r="B401" s="77" t="s">
        <v>109</v>
      </c>
      <c r="C401" s="82"/>
      <c r="D401" s="83"/>
      <c r="E401" s="83"/>
      <c r="F401" s="83"/>
      <c r="G401" s="83"/>
      <c r="H401" s="83">
        <f t="shared" ref="H401:I401" si="448">SUM(H389:H400)</f>
        <v>1</v>
      </c>
      <c r="I401" s="84">
        <f t="shared" si="448"/>
        <v>57632.47818</v>
      </c>
      <c r="J401" s="84"/>
      <c r="K401" s="85">
        <f>SUM(K389:K400)</f>
        <v>66307</v>
      </c>
      <c r="L401" s="85"/>
      <c r="M401" s="85"/>
      <c r="N401" s="85"/>
      <c r="O401" s="85">
        <f t="shared" ref="O401:U401" si="449">SUM(O389:O400)</f>
        <v>8674.521817</v>
      </c>
      <c r="P401" s="48">
        <f t="shared" si="449"/>
        <v>34388.15299</v>
      </c>
      <c r="Q401" s="85">
        <f t="shared" si="449"/>
        <v>629.802025</v>
      </c>
      <c r="R401" s="85">
        <f t="shared" si="449"/>
        <v>445.4297457</v>
      </c>
      <c r="S401" s="85">
        <f t="shared" si="449"/>
        <v>1075.231771</v>
      </c>
      <c r="T401" s="85">
        <f t="shared" si="449"/>
        <v>445.4297457</v>
      </c>
      <c r="U401" s="85">
        <f t="shared" si="449"/>
        <v>589.8674835</v>
      </c>
      <c r="V401" s="48">
        <f t="shared" si="444"/>
        <v>1520.661516</v>
      </c>
      <c r="W401" s="85">
        <f t="shared" ref="W401:Y401" si="450">SUM(W389:W400)</f>
        <v>2110.529</v>
      </c>
      <c r="X401" s="85">
        <f t="shared" si="450"/>
        <v>135.4569199</v>
      </c>
      <c r="Y401" s="85">
        <f t="shared" si="450"/>
        <v>2245.98592</v>
      </c>
    </row>
  </sheetData>
  <mergeCells count="25">
    <mergeCell ref="Q3:S3"/>
    <mergeCell ref="Q19:S19"/>
    <mergeCell ref="Q35:S35"/>
    <mergeCell ref="Q51:S51"/>
    <mergeCell ref="Q67:S67"/>
    <mergeCell ref="Q83:S83"/>
    <mergeCell ref="Q99:S99"/>
    <mergeCell ref="Q115:S115"/>
    <mergeCell ref="Q131:S131"/>
    <mergeCell ref="Q147:S147"/>
    <mergeCell ref="Q163:S163"/>
    <mergeCell ref="Q179:S179"/>
    <mergeCell ref="Q195:S195"/>
    <mergeCell ref="Q211:S211"/>
    <mergeCell ref="Q339:S339"/>
    <mergeCell ref="Q355:S355"/>
    <mergeCell ref="Q371:S371"/>
    <mergeCell ref="Q387:S387"/>
    <mergeCell ref="Q227:S227"/>
    <mergeCell ref="Q243:S243"/>
    <mergeCell ref="Q259:S259"/>
    <mergeCell ref="Q275:S275"/>
    <mergeCell ref="Q291:S291"/>
    <mergeCell ref="Q307:S307"/>
    <mergeCell ref="Q323:S32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6" max="6" width="11.0"/>
    <col customWidth="1" min="14" max="14" width="15.63"/>
  </cols>
  <sheetData>
    <row r="1">
      <c r="A1" s="1" t="s">
        <v>44</v>
      </c>
      <c r="B1" s="1" t="s">
        <v>128</v>
      </c>
      <c r="C1" s="1"/>
      <c r="D1" s="1"/>
      <c r="E1" s="1">
        <v>65000.0</v>
      </c>
      <c r="G1" s="1" t="s">
        <v>129</v>
      </c>
      <c r="H1" s="6">
        <v>0.005</v>
      </c>
      <c r="J1" s="6">
        <v>0.3</v>
      </c>
      <c r="O1" s="1" t="s">
        <v>130</v>
      </c>
    </row>
    <row r="2">
      <c r="O2" s="1" t="s">
        <v>131</v>
      </c>
    </row>
    <row r="3">
      <c r="A3" s="1">
        <v>0.0</v>
      </c>
      <c r="B3" s="1" t="s">
        <v>128</v>
      </c>
      <c r="C3" s="1"/>
      <c r="D3" s="1"/>
      <c r="E3" s="1">
        <f>$E$1* POW((1 -$H$1),A3)</f>
        <v>65000</v>
      </c>
      <c r="F3" s="1" t="s">
        <v>132</v>
      </c>
      <c r="G3" s="8">
        <f>E3/G17</f>
        <v>0.9802886573</v>
      </c>
      <c r="H3" s="1" t="s">
        <v>133</v>
      </c>
      <c r="I3" s="6">
        <f>1-G3</f>
        <v>0.01971134269</v>
      </c>
      <c r="J3" s="51" t="s">
        <v>74</v>
      </c>
      <c r="K3" s="31"/>
      <c r="L3" s="32"/>
      <c r="M3" s="52" t="s">
        <v>78</v>
      </c>
    </row>
    <row r="4">
      <c r="A4" s="41"/>
      <c r="B4" s="44" t="s">
        <v>83</v>
      </c>
      <c r="C4" s="20" t="s">
        <v>88</v>
      </c>
      <c r="D4" s="44" t="s">
        <v>87</v>
      </c>
      <c r="E4" s="44" t="s">
        <v>134</v>
      </c>
      <c r="F4" s="44" t="s">
        <v>135</v>
      </c>
      <c r="G4" s="20" t="s">
        <v>89</v>
      </c>
      <c r="H4" s="20" t="s">
        <v>138</v>
      </c>
      <c r="I4" s="20" t="s">
        <v>139</v>
      </c>
      <c r="J4" s="54" t="s">
        <v>76</v>
      </c>
      <c r="K4" s="20" t="s">
        <v>82</v>
      </c>
      <c r="L4" s="55" t="s">
        <v>109</v>
      </c>
      <c r="M4" s="56" t="s">
        <v>80</v>
      </c>
      <c r="N4" s="57" t="s">
        <v>67</v>
      </c>
      <c r="O4" s="45" t="s">
        <v>114</v>
      </c>
      <c r="P4" s="45" t="s">
        <v>115</v>
      </c>
      <c r="Q4" s="45" t="s">
        <v>60</v>
      </c>
      <c r="R4" s="45" t="s">
        <v>109</v>
      </c>
    </row>
    <row r="5">
      <c r="A5" s="58"/>
      <c r="B5" s="46" t="s">
        <v>117</v>
      </c>
      <c r="C5" s="24">
        <v>31.0</v>
      </c>
      <c r="D5" s="86">
        <v>0.6479166666666667</v>
      </c>
      <c r="E5" s="59">
        <v>0.02731296772</v>
      </c>
      <c r="F5" s="60">
        <f t="shared" ref="F5:F16" si="1">E$3*E5</f>
        <v>1775.342902</v>
      </c>
      <c r="G5" s="25">
        <v>5726.0</v>
      </c>
      <c r="H5" s="25">
        <f t="shared" ref="H5:H16" si="2">G5-F5</f>
        <v>3950.657098</v>
      </c>
      <c r="I5" s="25">
        <f t="shared" ref="I5:I16" si="3">D5*G5*(1+$I$3)</f>
        <v>3783.09934</v>
      </c>
      <c r="J5" s="64">
        <f>C5*'Rate Codes'!$D$7</f>
        <v>53.490035</v>
      </c>
      <c r="K5" s="25">
        <f>I5*'Rate Codes'!$D$8</f>
        <v>49.00248575</v>
      </c>
      <c r="L5" s="65">
        <f t="shared" ref="L5:L16" si="4">SUM(J5:K5)</f>
        <v>102.4925207</v>
      </c>
      <c r="M5" s="66">
        <f>I5*'Rate Codes'!$D$8</f>
        <v>49.00248575</v>
      </c>
      <c r="N5" s="67">
        <f>(H5)*'Billing Rate'!$B$1</f>
        <v>268.6446827</v>
      </c>
      <c r="O5" s="25">
        <f t="shared" ref="O5:O17" si="5">L5+M5</f>
        <v>151.4950065</v>
      </c>
      <c r="P5" s="25">
        <f t="shared" ref="P5:P16" si="6">N5+L5+M5</f>
        <v>420.1396892</v>
      </c>
      <c r="Q5" s="25">
        <f t="shared" ref="Q5:Q16" si="7">(IF(N5&gt;0,N5,0)+O5)*0.05</f>
        <v>21.00698446</v>
      </c>
      <c r="R5" s="25">
        <f t="shared" ref="R5:R16" si="8">P5+Q5</f>
        <v>441.1466736</v>
      </c>
      <c r="U5" s="8"/>
    </row>
    <row r="6">
      <c r="A6" s="58"/>
      <c r="B6" s="46" t="s">
        <v>118</v>
      </c>
      <c r="C6" s="24">
        <v>28.0</v>
      </c>
      <c r="D6" s="86">
        <v>0.5868041666666667</v>
      </c>
      <c r="E6" s="59">
        <v>0.04620731865</v>
      </c>
      <c r="F6" s="60">
        <f t="shared" si="1"/>
        <v>3003.475712</v>
      </c>
      <c r="G6" s="25">
        <v>5279.0</v>
      </c>
      <c r="H6" s="25">
        <f t="shared" si="2"/>
        <v>2275.524288</v>
      </c>
      <c r="I6" s="25">
        <f t="shared" si="3"/>
        <v>3158.799795</v>
      </c>
      <c r="J6" s="64">
        <f>C6*'Rate Codes'!$D$7</f>
        <v>48.31358</v>
      </c>
      <c r="K6" s="25">
        <f>I6*'Rate Codes'!$D$8</f>
        <v>40.91593374</v>
      </c>
      <c r="L6" s="65">
        <f t="shared" si="4"/>
        <v>89.22951374</v>
      </c>
      <c r="M6" s="66">
        <f>I6*'Rate Codes'!$D$8</f>
        <v>40.91593374</v>
      </c>
      <c r="N6" s="67">
        <f>(H6)*'Billing Rate'!$B$1</f>
        <v>154.7356516</v>
      </c>
      <c r="O6" s="25">
        <f t="shared" si="5"/>
        <v>130.1454475</v>
      </c>
      <c r="P6" s="25">
        <f t="shared" si="6"/>
        <v>284.881099</v>
      </c>
      <c r="Q6" s="25">
        <f t="shared" si="7"/>
        <v>14.24405495</v>
      </c>
      <c r="R6" s="25">
        <f t="shared" si="8"/>
        <v>299.125154</v>
      </c>
      <c r="U6" s="8"/>
    </row>
    <row r="7">
      <c r="A7" s="58"/>
      <c r="B7" s="46" t="s">
        <v>119</v>
      </c>
      <c r="C7" s="24">
        <v>31.0</v>
      </c>
      <c r="D7" s="86">
        <v>0.5083333333333333</v>
      </c>
      <c r="E7" s="59">
        <v>0.08500831624</v>
      </c>
      <c r="F7" s="60">
        <f t="shared" si="1"/>
        <v>5525.540556</v>
      </c>
      <c r="G7" s="25">
        <v>4991.0</v>
      </c>
      <c r="H7" s="25">
        <f t="shared" si="2"/>
        <v>-534.5405556</v>
      </c>
      <c r="I7" s="25">
        <f t="shared" si="3"/>
        <v>2587.10115</v>
      </c>
      <c r="J7" s="64">
        <f>C7*'Rate Codes'!$D$7</f>
        <v>53.490035</v>
      </c>
      <c r="K7" s="25">
        <f>I7*'Rate Codes'!$D$8</f>
        <v>33.5107212</v>
      </c>
      <c r="L7" s="65">
        <f t="shared" si="4"/>
        <v>87.0007562</v>
      </c>
      <c r="M7" s="66">
        <f>I7*'Rate Codes'!$D$8</f>
        <v>33.5107212</v>
      </c>
      <c r="N7" s="67">
        <f>(H7)*'Billing Rate'!$B$1</f>
        <v>-36.34875778</v>
      </c>
      <c r="O7" s="25">
        <f t="shared" si="5"/>
        <v>120.5114774</v>
      </c>
      <c r="P7" s="25">
        <f t="shared" si="6"/>
        <v>84.16271961</v>
      </c>
      <c r="Q7" s="25">
        <f t="shared" si="7"/>
        <v>6.02557387</v>
      </c>
      <c r="R7" s="25">
        <f t="shared" si="8"/>
        <v>90.18829348</v>
      </c>
      <c r="U7" s="8"/>
    </row>
    <row r="8">
      <c r="A8" s="58"/>
      <c r="B8" s="46" t="s">
        <v>120</v>
      </c>
      <c r="C8" s="24">
        <v>30.0</v>
      </c>
      <c r="D8" s="86">
        <v>0.425</v>
      </c>
      <c r="E8" s="59">
        <v>0.108773175</v>
      </c>
      <c r="F8" s="60">
        <f t="shared" si="1"/>
        <v>7070.256375</v>
      </c>
      <c r="G8" s="25">
        <v>4952.0</v>
      </c>
      <c r="H8" s="25">
        <f t="shared" si="2"/>
        <v>-2118.256375</v>
      </c>
      <c r="I8" s="25">
        <f t="shared" si="3"/>
        <v>2146.084492</v>
      </c>
      <c r="J8" s="64">
        <f>C8*'Rate Codes'!$D$7</f>
        <v>51.76455</v>
      </c>
      <c r="K8" s="25">
        <f>I8*'Rate Codes'!$D$8</f>
        <v>27.79823242</v>
      </c>
      <c r="L8" s="65">
        <f t="shared" si="4"/>
        <v>79.56278242</v>
      </c>
      <c r="M8" s="66">
        <f>I8*'Rate Codes'!$D$8</f>
        <v>27.79823242</v>
      </c>
      <c r="N8" s="67">
        <f>(H8)*'Billing Rate'!$B$1</f>
        <v>-144.0414335</v>
      </c>
      <c r="O8" s="25">
        <f t="shared" si="5"/>
        <v>107.3610148</v>
      </c>
      <c r="P8" s="25">
        <f t="shared" si="6"/>
        <v>-36.68041865</v>
      </c>
      <c r="Q8" s="25">
        <f t="shared" si="7"/>
        <v>5.368050742</v>
      </c>
      <c r="R8" s="25">
        <f t="shared" si="8"/>
        <v>-31.31236791</v>
      </c>
      <c r="U8" s="8"/>
    </row>
    <row r="9">
      <c r="A9" s="58"/>
      <c r="B9" s="46" t="s">
        <v>98</v>
      </c>
      <c r="C9" s="24">
        <v>31.0</v>
      </c>
      <c r="D9" s="86">
        <v>0.35277916666666664</v>
      </c>
      <c r="E9" s="59">
        <v>0.1281742617</v>
      </c>
      <c r="F9" s="60">
        <f t="shared" si="1"/>
        <v>8331.327011</v>
      </c>
      <c r="G9" s="25">
        <v>5559.0</v>
      </c>
      <c r="H9" s="25">
        <f t="shared" si="2"/>
        <v>-2772.327011</v>
      </c>
      <c r="I9" s="25">
        <f t="shared" si="3"/>
        <v>1999.75529</v>
      </c>
      <c r="J9" s="64">
        <f>C9*'Rate Codes'!$D$7</f>
        <v>53.490035</v>
      </c>
      <c r="K9" s="25">
        <f>I9*'Rate Codes'!$D$8</f>
        <v>25.90283027</v>
      </c>
      <c r="L9" s="65">
        <f t="shared" si="4"/>
        <v>79.39286527</v>
      </c>
      <c r="M9" s="66">
        <f>I9*'Rate Codes'!$D$8</f>
        <v>25.90283027</v>
      </c>
      <c r="N9" s="67">
        <f>(H9)*'Billing Rate'!$B$1</f>
        <v>-188.5182367</v>
      </c>
      <c r="O9" s="25">
        <f t="shared" si="5"/>
        <v>105.2956955</v>
      </c>
      <c r="P9" s="25">
        <f t="shared" si="6"/>
        <v>-83.22254118</v>
      </c>
      <c r="Q9" s="25">
        <f t="shared" si="7"/>
        <v>5.264784777</v>
      </c>
      <c r="R9" s="25">
        <f t="shared" si="8"/>
        <v>-77.95775641</v>
      </c>
      <c r="U9" s="8"/>
    </row>
    <row r="10">
      <c r="A10" s="58"/>
      <c r="B10" s="46" t="s">
        <v>121</v>
      </c>
      <c r="C10" s="24">
        <v>30.0</v>
      </c>
      <c r="D10" s="86">
        <v>0.31388750000000004</v>
      </c>
      <c r="E10" s="59">
        <v>0.1254860808</v>
      </c>
      <c r="F10" s="60">
        <f t="shared" si="1"/>
        <v>8156.595252</v>
      </c>
      <c r="G10" s="25">
        <v>4964.0</v>
      </c>
      <c r="H10" s="25">
        <f t="shared" si="2"/>
        <v>-3192.595252</v>
      </c>
      <c r="I10" s="25">
        <f t="shared" si="3"/>
        <v>1588.850533</v>
      </c>
      <c r="J10" s="64">
        <f>C10*'Rate Codes'!$D$7</f>
        <v>51.76455</v>
      </c>
      <c r="K10" s="25">
        <f>I10*'Rate Codes'!$D$8</f>
        <v>20.58038096</v>
      </c>
      <c r="L10" s="65">
        <f t="shared" si="4"/>
        <v>72.34493096</v>
      </c>
      <c r="M10" s="66">
        <f>I10*'Rate Codes'!$D$8</f>
        <v>20.58038096</v>
      </c>
      <c r="N10" s="67">
        <f>(H10)*'Billing Rate'!$B$1</f>
        <v>-217.0964771</v>
      </c>
      <c r="O10" s="25">
        <f t="shared" si="5"/>
        <v>92.92531191</v>
      </c>
      <c r="P10" s="25">
        <f t="shared" si="6"/>
        <v>-124.1711652</v>
      </c>
      <c r="Q10" s="25">
        <f t="shared" si="7"/>
        <v>4.646265596</v>
      </c>
      <c r="R10" s="25">
        <f t="shared" si="8"/>
        <v>-119.5248996</v>
      </c>
      <c r="U10" s="8"/>
    </row>
    <row r="11">
      <c r="A11" s="58"/>
      <c r="B11" s="46" t="s">
        <v>122</v>
      </c>
      <c r="C11" s="24">
        <v>31.0</v>
      </c>
      <c r="D11" s="86">
        <v>0.33125</v>
      </c>
      <c r="E11" s="59">
        <v>0.1449493112</v>
      </c>
      <c r="F11" s="60">
        <f t="shared" si="1"/>
        <v>9421.705228</v>
      </c>
      <c r="G11" s="25">
        <v>6634.0</v>
      </c>
      <c r="H11" s="25">
        <f t="shared" si="2"/>
        <v>-2787.705228</v>
      </c>
      <c r="I11" s="25">
        <f t="shared" si="3"/>
        <v>2240.828422</v>
      </c>
      <c r="J11" s="64">
        <f>C11*'Rate Codes'!$D$7</f>
        <v>53.490035</v>
      </c>
      <c r="K11" s="25">
        <f>I11*'Rate Codes'!$D$8</f>
        <v>29.02545055</v>
      </c>
      <c r="L11" s="65">
        <f t="shared" si="4"/>
        <v>82.51548555</v>
      </c>
      <c r="M11" s="66">
        <f>I11*'Rate Codes'!$D$8</f>
        <v>29.02545055</v>
      </c>
      <c r="N11" s="67">
        <f>(H11)*'Billing Rate'!$B$1</f>
        <v>-189.5639555</v>
      </c>
      <c r="O11" s="25">
        <f t="shared" si="5"/>
        <v>111.5409361</v>
      </c>
      <c r="P11" s="25">
        <f t="shared" si="6"/>
        <v>-78.0230194</v>
      </c>
      <c r="Q11" s="25">
        <f t="shared" si="7"/>
        <v>5.577046805</v>
      </c>
      <c r="R11" s="25">
        <f t="shared" si="8"/>
        <v>-72.4459726</v>
      </c>
      <c r="U11" s="8"/>
    </row>
    <row r="12">
      <c r="A12" s="58"/>
      <c r="B12" s="46" t="s">
        <v>123</v>
      </c>
      <c r="C12" s="24">
        <v>31.0</v>
      </c>
      <c r="D12" s="86">
        <v>0.3951375</v>
      </c>
      <c r="E12" s="59">
        <v>0.1246952409</v>
      </c>
      <c r="F12" s="60">
        <f t="shared" si="1"/>
        <v>8105.190659</v>
      </c>
      <c r="G12" s="25">
        <v>5909.0</v>
      </c>
      <c r="H12" s="25">
        <f t="shared" si="2"/>
        <v>-2196.190659</v>
      </c>
      <c r="I12" s="25">
        <f t="shared" si="3"/>
        <v>2380.890861</v>
      </c>
      <c r="J12" s="64">
        <f>C12*'Rate Codes'!$D$7</f>
        <v>53.490035</v>
      </c>
      <c r="K12" s="25">
        <f>I12*'Rate Codes'!$D$8</f>
        <v>30.83967932</v>
      </c>
      <c r="L12" s="65">
        <f t="shared" si="4"/>
        <v>84.32971432</v>
      </c>
      <c r="M12" s="66">
        <f>I12*'Rate Codes'!$D$8</f>
        <v>30.83967932</v>
      </c>
      <c r="N12" s="67">
        <f>(H12)*'Billing Rate'!$B$1</f>
        <v>-149.3409648</v>
      </c>
      <c r="O12" s="25">
        <f t="shared" si="5"/>
        <v>115.1693936</v>
      </c>
      <c r="P12" s="25">
        <f t="shared" si="6"/>
        <v>-34.17157114</v>
      </c>
      <c r="Q12" s="25">
        <f t="shared" si="7"/>
        <v>5.758469682</v>
      </c>
      <c r="R12" s="25">
        <f t="shared" si="8"/>
        <v>-28.41310146</v>
      </c>
      <c r="U12" s="8"/>
    </row>
    <row r="13">
      <c r="A13" s="58"/>
      <c r="B13" s="46" t="s">
        <v>124</v>
      </c>
      <c r="C13" s="24">
        <v>30.0</v>
      </c>
      <c r="D13" s="86">
        <v>0.4756958333333334</v>
      </c>
      <c r="E13" s="59">
        <v>0.09825803101</v>
      </c>
      <c r="F13" s="60">
        <f t="shared" si="1"/>
        <v>6386.772016</v>
      </c>
      <c r="G13" s="25">
        <v>5270.0</v>
      </c>
      <c r="H13" s="25">
        <f t="shared" si="2"/>
        <v>-1116.772016</v>
      </c>
      <c r="I13" s="25">
        <f t="shared" si="3"/>
        <v>2556.331743</v>
      </c>
      <c r="J13" s="64">
        <f>C13*'Rate Codes'!$D$7</f>
        <v>51.76455</v>
      </c>
      <c r="K13" s="25">
        <f>I13*'Rate Codes'!$D$8</f>
        <v>33.11216506</v>
      </c>
      <c r="L13" s="65">
        <f t="shared" si="4"/>
        <v>84.87671506</v>
      </c>
      <c r="M13" s="66">
        <f>I13*'Rate Codes'!$D$8</f>
        <v>33.11216506</v>
      </c>
      <c r="N13" s="67">
        <f>(H13)*'Billing Rate'!$B$1</f>
        <v>-75.94049706</v>
      </c>
      <c r="O13" s="25">
        <f t="shared" si="5"/>
        <v>117.9888801</v>
      </c>
      <c r="P13" s="25">
        <f t="shared" si="6"/>
        <v>42.04838306</v>
      </c>
      <c r="Q13" s="25">
        <f t="shared" si="7"/>
        <v>5.899444006</v>
      </c>
      <c r="R13" s="25">
        <f t="shared" si="8"/>
        <v>47.94782707</v>
      </c>
      <c r="U13" s="8"/>
    </row>
    <row r="14">
      <c r="A14" s="58"/>
      <c r="B14" s="46" t="s">
        <v>125</v>
      </c>
      <c r="C14" s="24">
        <v>31.0</v>
      </c>
      <c r="D14" s="86">
        <v>0.5590291666666667</v>
      </c>
      <c r="E14" s="59">
        <v>0.06840443866</v>
      </c>
      <c r="F14" s="60">
        <f t="shared" si="1"/>
        <v>4446.288513</v>
      </c>
      <c r="G14" s="25">
        <v>5946.0</v>
      </c>
      <c r="H14" s="25">
        <f t="shared" si="2"/>
        <v>1499.711487</v>
      </c>
      <c r="I14" s="25">
        <f t="shared" si="3"/>
        <v>3389.50768</v>
      </c>
      <c r="J14" s="64">
        <f>C14*'Rate Codes'!$D$7</f>
        <v>53.490035</v>
      </c>
      <c r="K14" s="25">
        <f>I14*'Rate Codes'!$D$8</f>
        <v>43.90429298</v>
      </c>
      <c r="L14" s="65">
        <f t="shared" si="4"/>
        <v>97.39432798</v>
      </c>
      <c r="M14" s="66">
        <f>I14*'Rate Codes'!$D$8</f>
        <v>43.90429298</v>
      </c>
      <c r="N14" s="67">
        <f>(H14)*'Billing Rate'!$B$1</f>
        <v>101.9803811</v>
      </c>
      <c r="O14" s="25">
        <f t="shared" si="5"/>
        <v>141.298621</v>
      </c>
      <c r="P14" s="25">
        <f t="shared" si="6"/>
        <v>243.2790021</v>
      </c>
      <c r="Q14" s="25">
        <f t="shared" si="7"/>
        <v>12.1639501</v>
      </c>
      <c r="R14" s="25">
        <f t="shared" si="8"/>
        <v>255.4429522</v>
      </c>
      <c r="U14" s="8"/>
    </row>
    <row r="15">
      <c r="A15" s="58"/>
      <c r="B15" s="46" t="s">
        <v>126</v>
      </c>
      <c r="C15" s="24">
        <v>30.0</v>
      </c>
      <c r="D15" s="86">
        <v>0.63125</v>
      </c>
      <c r="E15" s="59">
        <v>0.0271408052</v>
      </c>
      <c r="F15" s="60">
        <f t="shared" si="1"/>
        <v>1764.152338</v>
      </c>
      <c r="G15" s="25">
        <v>5587.0</v>
      </c>
      <c r="H15" s="25">
        <f t="shared" si="2"/>
        <v>3822.847662</v>
      </c>
      <c r="I15" s="25">
        <f t="shared" si="3"/>
        <v>3596.31159</v>
      </c>
      <c r="J15" s="64">
        <f>C15*'Rate Codes'!$D$7</f>
        <v>51.76455</v>
      </c>
      <c r="K15" s="25">
        <f>I15*'Rate Codes'!$D$8</f>
        <v>46.58302403</v>
      </c>
      <c r="L15" s="65">
        <f t="shared" si="4"/>
        <v>98.34757403</v>
      </c>
      <c r="M15" s="66">
        <f>I15*'Rate Codes'!$D$8</f>
        <v>46.58302403</v>
      </c>
      <c r="N15" s="67">
        <f>(H15)*'Billing Rate'!$B$1</f>
        <v>259.953641</v>
      </c>
      <c r="O15" s="25">
        <f t="shared" si="5"/>
        <v>144.9305981</v>
      </c>
      <c r="P15" s="25">
        <f t="shared" si="6"/>
        <v>404.8842391</v>
      </c>
      <c r="Q15" s="25">
        <f t="shared" si="7"/>
        <v>20.24421195</v>
      </c>
      <c r="R15" s="25">
        <f t="shared" si="8"/>
        <v>425.128451</v>
      </c>
      <c r="U15" s="8"/>
    </row>
    <row r="16">
      <c r="A16" s="58"/>
      <c r="B16" s="46" t="s">
        <v>127</v>
      </c>
      <c r="C16" s="24">
        <v>31.0</v>
      </c>
      <c r="D16" s="86">
        <v>0.6680541666666667</v>
      </c>
      <c r="E16" s="59">
        <v>0.01559005293</v>
      </c>
      <c r="F16" s="60">
        <f t="shared" si="1"/>
        <v>1013.35344</v>
      </c>
      <c r="G16" s="25">
        <v>5490.0</v>
      </c>
      <c r="H16" s="25">
        <f t="shared" si="2"/>
        <v>4476.64656</v>
      </c>
      <c r="I16" s="25">
        <f t="shared" si="3"/>
        <v>3739.911038</v>
      </c>
      <c r="J16" s="64">
        <f>C16*'Rate Codes'!$D$7</f>
        <v>53.490035</v>
      </c>
      <c r="K16" s="25">
        <f>I16*'Rate Codes'!$D$8</f>
        <v>48.44306767</v>
      </c>
      <c r="L16" s="65">
        <f t="shared" si="4"/>
        <v>101.9331027</v>
      </c>
      <c r="M16" s="66">
        <f>I16*'Rate Codes'!$D$8</f>
        <v>48.44306767</v>
      </c>
      <c r="N16" s="67">
        <f>(H16)*'Billing Rate'!$B$1</f>
        <v>304.411966</v>
      </c>
      <c r="O16" s="25">
        <f t="shared" si="5"/>
        <v>150.3761703</v>
      </c>
      <c r="P16" s="25">
        <f t="shared" si="6"/>
        <v>454.7881364</v>
      </c>
      <c r="Q16" s="25">
        <f t="shared" si="7"/>
        <v>22.73940682</v>
      </c>
      <c r="R16" s="25">
        <f t="shared" si="8"/>
        <v>477.5275432</v>
      </c>
      <c r="U16" s="8"/>
    </row>
    <row r="17">
      <c r="A17" s="41"/>
      <c r="B17" s="44" t="s">
        <v>109</v>
      </c>
      <c r="C17" s="44"/>
      <c r="D17" s="44"/>
      <c r="E17" s="68">
        <f t="shared" ref="E17:N17" si="9">SUM(E5:E16)</f>
        <v>1</v>
      </c>
      <c r="F17" s="69">
        <f t="shared" si="9"/>
        <v>65000</v>
      </c>
      <c r="G17" s="48">
        <f t="shared" si="9"/>
        <v>66307</v>
      </c>
      <c r="H17" s="48">
        <f t="shared" si="9"/>
        <v>1306.999999</v>
      </c>
      <c r="I17" s="48">
        <f t="shared" si="9"/>
        <v>33167.47193</v>
      </c>
      <c r="J17" s="70">
        <f t="shared" si="9"/>
        <v>629.802025</v>
      </c>
      <c r="K17" s="71">
        <f t="shared" si="9"/>
        <v>429.6182639</v>
      </c>
      <c r="L17" s="72">
        <f t="shared" si="9"/>
        <v>1059.420289</v>
      </c>
      <c r="M17" s="73">
        <f t="shared" si="9"/>
        <v>429.6182639</v>
      </c>
      <c r="N17" s="74">
        <f t="shared" si="9"/>
        <v>88.87599996</v>
      </c>
      <c r="O17" s="48">
        <f t="shared" si="5"/>
        <v>1489.038553</v>
      </c>
      <c r="P17" s="48">
        <f t="shared" ref="P17:R17" si="10">SUM(P5:P16)</f>
        <v>1577.914553</v>
      </c>
      <c r="Q17" s="48">
        <f t="shared" si="10"/>
        <v>128.9382438</v>
      </c>
      <c r="R17" s="48">
        <f t="shared" si="10"/>
        <v>1706.852797</v>
      </c>
    </row>
    <row r="19">
      <c r="A19" s="1">
        <v>1.0</v>
      </c>
      <c r="B19" s="1" t="s">
        <v>128</v>
      </c>
      <c r="C19" s="1"/>
      <c r="D19" s="1"/>
      <c r="E19" s="1">
        <f>$E$1* POW((1 -$H$1),A19)</f>
        <v>64675</v>
      </c>
      <c r="F19" s="1" t="s">
        <v>132</v>
      </c>
      <c r="G19" s="8">
        <f>E19/G33</f>
        <v>0.975387214</v>
      </c>
      <c r="H19" s="1" t="s">
        <v>133</v>
      </c>
      <c r="I19" s="6">
        <f>1-G19</f>
        <v>0.02461278598</v>
      </c>
      <c r="J19" s="1" t="s">
        <v>74</v>
      </c>
      <c r="M19" s="1" t="s">
        <v>78</v>
      </c>
    </row>
    <row r="20">
      <c r="A20" s="41"/>
      <c r="B20" s="44" t="s">
        <v>83</v>
      </c>
      <c r="C20" s="20" t="s">
        <v>88</v>
      </c>
      <c r="D20" s="44" t="s">
        <v>87</v>
      </c>
      <c r="E20" s="44" t="s">
        <v>140</v>
      </c>
      <c r="F20" s="44" t="s">
        <v>135</v>
      </c>
      <c r="G20" s="20" t="s">
        <v>89</v>
      </c>
      <c r="H20" s="20" t="s">
        <v>138</v>
      </c>
      <c r="I20" s="20" t="s">
        <v>139</v>
      </c>
      <c r="J20" s="20" t="s">
        <v>76</v>
      </c>
      <c r="K20" s="20" t="s">
        <v>82</v>
      </c>
      <c r="L20" s="20" t="s">
        <v>109</v>
      </c>
      <c r="M20" s="20" t="s">
        <v>80</v>
      </c>
      <c r="N20" s="20" t="s">
        <v>67</v>
      </c>
      <c r="O20" s="45" t="s">
        <v>114</v>
      </c>
      <c r="P20" s="45" t="s">
        <v>115</v>
      </c>
      <c r="Q20" s="45" t="s">
        <v>60</v>
      </c>
      <c r="R20" s="45" t="s">
        <v>109</v>
      </c>
    </row>
    <row r="21">
      <c r="A21" s="75"/>
      <c r="B21" s="46" t="s">
        <v>117</v>
      </c>
      <c r="C21" s="24">
        <v>31.0</v>
      </c>
      <c r="D21" s="86">
        <v>0.6479166666666667</v>
      </c>
      <c r="E21" s="59">
        <v>0.02731296772</v>
      </c>
      <c r="F21" s="60">
        <f t="shared" ref="F21:F32" si="11">$E$19*E21</f>
        <v>1766.466187</v>
      </c>
      <c r="G21" s="25">
        <v>5726.0</v>
      </c>
      <c r="H21" s="25">
        <f t="shared" ref="H21:H32" si="12">G21-F21</f>
        <v>3959.533813</v>
      </c>
      <c r="I21" s="25">
        <f t="shared" ref="I21:I32" si="13">D21*G21*(1+$I$19)</f>
        <v>3801.283551</v>
      </c>
      <c r="J21" s="64">
        <f>C21*'Rate Codes'!$D$7</f>
        <v>53.490035</v>
      </c>
      <c r="K21" s="25">
        <f>I21*'Rate Codes'!$D$8</f>
        <v>49.23802584</v>
      </c>
      <c r="L21" s="25">
        <f t="shared" ref="L21:L32" si="14">SUM(J21:K21)</f>
        <v>102.7280608</v>
      </c>
      <c r="M21" s="66">
        <f>I21*'Rate Codes'!$D$8</f>
        <v>49.23802584</v>
      </c>
      <c r="N21" s="67">
        <f>(H21)*'Billing Rate'!$B$1</f>
        <v>269.2482993</v>
      </c>
      <c r="O21" s="25">
        <f t="shared" ref="O21:O33" si="15">L21+M21</f>
        <v>151.9660867</v>
      </c>
      <c r="P21" s="25">
        <f t="shared" ref="P21:P32" si="16">N21+L21+M21</f>
        <v>421.2143859</v>
      </c>
      <c r="Q21" s="25">
        <f t="shared" ref="Q21:Q32" si="17">(IF(N21&gt;0,N21,0)+O21)*0.05</f>
        <v>21.0607193</v>
      </c>
      <c r="R21" s="25">
        <f t="shared" ref="R21:R32" si="18">P21+Q21</f>
        <v>442.2751052</v>
      </c>
    </row>
    <row r="22">
      <c r="A22" s="75"/>
      <c r="B22" s="46" t="s">
        <v>118</v>
      </c>
      <c r="C22" s="24">
        <v>28.0</v>
      </c>
      <c r="D22" s="86">
        <v>0.5868041666666667</v>
      </c>
      <c r="E22" s="59">
        <v>0.04620731865</v>
      </c>
      <c r="F22" s="60">
        <f t="shared" si="11"/>
        <v>2988.458334</v>
      </c>
      <c r="G22" s="25">
        <v>5279.0</v>
      </c>
      <c r="H22" s="25">
        <f t="shared" si="12"/>
        <v>2290.541666</v>
      </c>
      <c r="I22" s="25">
        <f t="shared" si="13"/>
        <v>3173.983188</v>
      </c>
      <c r="J22" s="64">
        <f>C22*'Rate Codes'!$D$7</f>
        <v>48.31358</v>
      </c>
      <c r="K22" s="25">
        <f>I22*'Rate Codes'!$D$8</f>
        <v>41.11260423</v>
      </c>
      <c r="L22" s="25">
        <f t="shared" si="14"/>
        <v>89.42618423</v>
      </c>
      <c r="M22" s="66">
        <f>I22*'Rate Codes'!$D$8</f>
        <v>41.11260423</v>
      </c>
      <c r="N22" s="67">
        <f>(H22)*'Billing Rate'!$B$1</f>
        <v>155.7568333</v>
      </c>
      <c r="O22" s="25">
        <f t="shared" si="15"/>
        <v>130.5387885</v>
      </c>
      <c r="P22" s="25">
        <f t="shared" si="16"/>
        <v>286.2956218</v>
      </c>
      <c r="Q22" s="25">
        <f t="shared" si="17"/>
        <v>14.31478109</v>
      </c>
      <c r="R22" s="25">
        <f t="shared" si="18"/>
        <v>300.6104029</v>
      </c>
    </row>
    <row r="23">
      <c r="A23" s="75"/>
      <c r="B23" s="46" t="s">
        <v>119</v>
      </c>
      <c r="C23" s="24">
        <v>31.0</v>
      </c>
      <c r="D23" s="86">
        <v>0.5083333333333333</v>
      </c>
      <c r="E23" s="59">
        <v>0.08500831624</v>
      </c>
      <c r="F23" s="60">
        <f t="shared" si="11"/>
        <v>5497.912853</v>
      </c>
      <c r="G23" s="25">
        <v>4991.0</v>
      </c>
      <c r="H23" s="25">
        <f t="shared" si="12"/>
        <v>-506.9128528</v>
      </c>
      <c r="I23" s="25">
        <f t="shared" si="13"/>
        <v>2599.536561</v>
      </c>
      <c r="J23" s="64">
        <f>C23*'Rate Codes'!$D$7</f>
        <v>53.490035</v>
      </c>
      <c r="K23" s="25">
        <f>I23*'Rate Codes'!$D$8</f>
        <v>33.67179707</v>
      </c>
      <c r="L23" s="25">
        <f t="shared" si="14"/>
        <v>87.16183207</v>
      </c>
      <c r="M23" s="66">
        <f>I23*'Rate Codes'!$D$8</f>
        <v>33.67179707</v>
      </c>
      <c r="N23" s="67">
        <f>(H23)*'Billing Rate'!$B$1</f>
        <v>-34.47007399</v>
      </c>
      <c r="O23" s="25">
        <f t="shared" si="15"/>
        <v>120.8336291</v>
      </c>
      <c r="P23" s="25">
        <f t="shared" si="16"/>
        <v>86.36355515</v>
      </c>
      <c r="Q23" s="25">
        <f t="shared" si="17"/>
        <v>6.041681457</v>
      </c>
      <c r="R23" s="25">
        <f t="shared" si="18"/>
        <v>92.40523661</v>
      </c>
    </row>
    <row r="24">
      <c r="A24" s="75"/>
      <c r="B24" s="46" t="s">
        <v>120</v>
      </c>
      <c r="C24" s="24">
        <v>30.0</v>
      </c>
      <c r="D24" s="86">
        <v>0.425</v>
      </c>
      <c r="E24" s="59">
        <v>0.108773175</v>
      </c>
      <c r="F24" s="60">
        <f t="shared" si="11"/>
        <v>7034.905093</v>
      </c>
      <c r="G24" s="25">
        <v>4952.0</v>
      </c>
      <c r="H24" s="25">
        <f t="shared" si="12"/>
        <v>-2082.905093</v>
      </c>
      <c r="I24" s="25">
        <f t="shared" si="13"/>
        <v>2156.400069</v>
      </c>
      <c r="J24" s="64">
        <f>C24*'Rate Codes'!$D$7</f>
        <v>51.76455</v>
      </c>
      <c r="K24" s="25">
        <f>I24*'Rate Codes'!$D$8</f>
        <v>27.9318501</v>
      </c>
      <c r="L24" s="25">
        <f t="shared" si="14"/>
        <v>79.6964001</v>
      </c>
      <c r="M24" s="66">
        <f>I24*'Rate Codes'!$D$8</f>
        <v>27.9318501</v>
      </c>
      <c r="N24" s="67">
        <f>(H24)*'Billing Rate'!$B$1</f>
        <v>-141.6375463</v>
      </c>
      <c r="O24" s="25">
        <f t="shared" si="15"/>
        <v>107.6282502</v>
      </c>
      <c r="P24" s="25">
        <f t="shared" si="16"/>
        <v>-34.00929614</v>
      </c>
      <c r="Q24" s="25">
        <f t="shared" si="17"/>
        <v>5.38141251</v>
      </c>
      <c r="R24" s="25">
        <f t="shared" si="18"/>
        <v>-28.62788363</v>
      </c>
    </row>
    <row r="25">
      <c r="A25" s="75"/>
      <c r="B25" s="46" t="s">
        <v>98</v>
      </c>
      <c r="C25" s="24">
        <v>31.0</v>
      </c>
      <c r="D25" s="86">
        <v>0.35277916666666664</v>
      </c>
      <c r="E25" s="59">
        <v>0.1281742617</v>
      </c>
      <c r="F25" s="60">
        <f t="shared" si="11"/>
        <v>8289.670375</v>
      </c>
      <c r="G25" s="25">
        <v>5559.0</v>
      </c>
      <c r="H25" s="25">
        <f t="shared" si="12"/>
        <v>-2730.670375</v>
      </c>
      <c r="I25" s="25">
        <f t="shared" si="13"/>
        <v>2009.367507</v>
      </c>
      <c r="J25" s="64">
        <f>C25*'Rate Codes'!$D$7</f>
        <v>53.490035</v>
      </c>
      <c r="K25" s="25">
        <f>I25*'Rate Codes'!$D$8</f>
        <v>26.02733732</v>
      </c>
      <c r="L25" s="25">
        <f t="shared" si="14"/>
        <v>79.51737232</v>
      </c>
      <c r="M25" s="66">
        <f>I25*'Rate Codes'!$D$8</f>
        <v>26.02733732</v>
      </c>
      <c r="N25" s="67">
        <f>(H25)*'Billing Rate'!$B$1</f>
        <v>-185.6855855</v>
      </c>
      <c r="O25" s="25">
        <f t="shared" si="15"/>
        <v>105.5447096</v>
      </c>
      <c r="P25" s="25">
        <f t="shared" si="16"/>
        <v>-80.14087589</v>
      </c>
      <c r="Q25" s="25">
        <f t="shared" si="17"/>
        <v>5.277235482</v>
      </c>
      <c r="R25" s="25">
        <f t="shared" si="18"/>
        <v>-74.86364041</v>
      </c>
    </row>
    <row r="26">
      <c r="A26" s="75"/>
      <c r="B26" s="46" t="s">
        <v>121</v>
      </c>
      <c r="C26" s="24">
        <v>30.0</v>
      </c>
      <c r="D26" s="86">
        <v>0.31388750000000004</v>
      </c>
      <c r="E26" s="59">
        <v>0.1254860808</v>
      </c>
      <c r="F26" s="60">
        <f t="shared" si="11"/>
        <v>8115.812276</v>
      </c>
      <c r="G26" s="25">
        <v>4964.0</v>
      </c>
      <c r="H26" s="25">
        <f t="shared" si="12"/>
        <v>-3151.812276</v>
      </c>
      <c r="I26" s="25">
        <f t="shared" si="13"/>
        <v>1596.487656</v>
      </c>
      <c r="J26" s="64">
        <f>C26*'Rate Codes'!$D$7</f>
        <v>51.76455</v>
      </c>
      <c r="K26" s="25">
        <f>I26*'Rate Codes'!$D$8</f>
        <v>20.67930461</v>
      </c>
      <c r="L26" s="25">
        <f t="shared" si="14"/>
        <v>72.44385461</v>
      </c>
      <c r="M26" s="66">
        <f>I26*'Rate Codes'!$D$8</f>
        <v>20.67930461</v>
      </c>
      <c r="N26" s="67">
        <f>(H26)*'Billing Rate'!$B$1</f>
        <v>-214.3232348</v>
      </c>
      <c r="O26" s="25">
        <f t="shared" si="15"/>
        <v>93.12315922</v>
      </c>
      <c r="P26" s="25">
        <f t="shared" si="16"/>
        <v>-121.2000755</v>
      </c>
      <c r="Q26" s="25">
        <f t="shared" si="17"/>
        <v>4.656157961</v>
      </c>
      <c r="R26" s="25">
        <f t="shared" si="18"/>
        <v>-116.5439176</v>
      </c>
    </row>
    <row r="27">
      <c r="A27" s="75"/>
      <c r="B27" s="46" t="s">
        <v>122</v>
      </c>
      <c r="C27" s="24">
        <v>31.0</v>
      </c>
      <c r="D27" s="86">
        <v>0.33125</v>
      </c>
      <c r="E27" s="59">
        <v>0.1449493112</v>
      </c>
      <c r="F27" s="60">
        <f t="shared" si="11"/>
        <v>9374.596702</v>
      </c>
      <c r="G27" s="25">
        <v>6634.0</v>
      </c>
      <c r="H27" s="25">
        <f t="shared" si="12"/>
        <v>-2740.596702</v>
      </c>
      <c r="I27" s="25">
        <f t="shared" si="13"/>
        <v>2251.599405</v>
      </c>
      <c r="J27" s="64">
        <f>C27*'Rate Codes'!$D$7</f>
        <v>53.490035</v>
      </c>
      <c r="K27" s="25">
        <f>I27*'Rate Codes'!$D$8</f>
        <v>29.16496709</v>
      </c>
      <c r="L27" s="25">
        <f t="shared" si="14"/>
        <v>82.65500209</v>
      </c>
      <c r="M27" s="66">
        <f>I27*'Rate Codes'!$D$8</f>
        <v>29.16496709</v>
      </c>
      <c r="N27" s="67">
        <f>(H27)*'Billing Rate'!$B$1</f>
        <v>-186.3605757</v>
      </c>
      <c r="O27" s="25">
        <f t="shared" si="15"/>
        <v>111.8199692</v>
      </c>
      <c r="P27" s="25">
        <f t="shared" si="16"/>
        <v>-74.54060654</v>
      </c>
      <c r="Q27" s="25">
        <f t="shared" si="17"/>
        <v>5.590998459</v>
      </c>
      <c r="R27" s="25">
        <f t="shared" si="18"/>
        <v>-68.94960809</v>
      </c>
    </row>
    <row r="28">
      <c r="A28" s="75"/>
      <c r="B28" s="46" t="s">
        <v>123</v>
      </c>
      <c r="C28" s="24">
        <v>31.0</v>
      </c>
      <c r="D28" s="86">
        <v>0.3951375</v>
      </c>
      <c r="E28" s="59">
        <v>0.1246952409</v>
      </c>
      <c r="F28" s="60">
        <f t="shared" si="11"/>
        <v>8064.664705</v>
      </c>
      <c r="G28" s="25">
        <v>5909.0</v>
      </c>
      <c r="H28" s="25">
        <f t="shared" si="12"/>
        <v>-2155.664705</v>
      </c>
      <c r="I28" s="25">
        <f t="shared" si="13"/>
        <v>2392.335081</v>
      </c>
      <c r="J28" s="64">
        <f>C28*'Rate Codes'!$D$7</f>
        <v>53.490035</v>
      </c>
      <c r="K28" s="25">
        <f>I28*'Rate Codes'!$D$8</f>
        <v>30.98791631</v>
      </c>
      <c r="L28" s="25">
        <f t="shared" si="14"/>
        <v>84.47795131</v>
      </c>
      <c r="M28" s="66">
        <f>I28*'Rate Codes'!$D$8</f>
        <v>30.98791631</v>
      </c>
      <c r="N28" s="67">
        <f>(H28)*'Billing Rate'!$B$1</f>
        <v>-146.5852</v>
      </c>
      <c r="O28" s="25">
        <f t="shared" si="15"/>
        <v>115.4658676</v>
      </c>
      <c r="P28" s="25">
        <f t="shared" si="16"/>
        <v>-31.11933234</v>
      </c>
      <c r="Q28" s="25">
        <f t="shared" si="17"/>
        <v>5.773293381</v>
      </c>
      <c r="R28" s="25">
        <f t="shared" si="18"/>
        <v>-25.34603896</v>
      </c>
    </row>
    <row r="29">
      <c r="A29" s="75"/>
      <c r="B29" s="46" t="s">
        <v>124</v>
      </c>
      <c r="C29" s="24">
        <v>30.0</v>
      </c>
      <c r="D29" s="86">
        <v>0.4756958333333334</v>
      </c>
      <c r="E29" s="59">
        <v>0.09825803101</v>
      </c>
      <c r="F29" s="60">
        <f t="shared" si="11"/>
        <v>6354.838156</v>
      </c>
      <c r="G29" s="25">
        <v>5270.0</v>
      </c>
      <c r="H29" s="25">
        <f t="shared" si="12"/>
        <v>-1084.838156</v>
      </c>
      <c r="I29" s="25">
        <f t="shared" si="13"/>
        <v>2568.619254</v>
      </c>
      <c r="J29" s="64">
        <f>C29*'Rate Codes'!$D$7</f>
        <v>51.76455</v>
      </c>
      <c r="K29" s="25">
        <f>I29*'Rate Codes'!$D$8</f>
        <v>33.2713252</v>
      </c>
      <c r="L29" s="25">
        <f t="shared" si="14"/>
        <v>85.0358752</v>
      </c>
      <c r="M29" s="66">
        <f>I29*'Rate Codes'!$D$8</f>
        <v>33.2713252</v>
      </c>
      <c r="N29" s="67">
        <f>(H29)*'Billing Rate'!$B$1</f>
        <v>-73.76899458</v>
      </c>
      <c r="O29" s="25">
        <f t="shared" si="15"/>
        <v>118.3072004</v>
      </c>
      <c r="P29" s="25">
        <f t="shared" si="16"/>
        <v>44.53820582</v>
      </c>
      <c r="Q29" s="25">
        <f t="shared" si="17"/>
        <v>5.91536002</v>
      </c>
      <c r="R29" s="25">
        <f t="shared" si="18"/>
        <v>50.45356584</v>
      </c>
    </row>
    <row r="30">
      <c r="A30" s="75"/>
      <c r="B30" s="46" t="s">
        <v>125</v>
      </c>
      <c r="C30" s="24">
        <v>31.0</v>
      </c>
      <c r="D30" s="86">
        <v>0.5590291666666667</v>
      </c>
      <c r="E30" s="59">
        <v>0.06840443866</v>
      </c>
      <c r="F30" s="60">
        <f t="shared" si="11"/>
        <v>4424.05707</v>
      </c>
      <c r="G30" s="25">
        <v>5946.0</v>
      </c>
      <c r="H30" s="25">
        <f t="shared" si="12"/>
        <v>1521.94293</v>
      </c>
      <c r="I30" s="25">
        <f t="shared" si="13"/>
        <v>3405.800016</v>
      </c>
      <c r="J30" s="64">
        <f>C30*'Rate Codes'!$D$7</f>
        <v>53.490035</v>
      </c>
      <c r="K30" s="25">
        <f>I30*'Rate Codes'!$D$8</f>
        <v>44.11532761</v>
      </c>
      <c r="L30" s="25">
        <f t="shared" si="14"/>
        <v>97.60536261</v>
      </c>
      <c r="M30" s="66">
        <f>I30*'Rate Codes'!$D$8</f>
        <v>44.11532761</v>
      </c>
      <c r="N30" s="67">
        <f>(H30)*'Billing Rate'!$B$1</f>
        <v>103.4921192</v>
      </c>
      <c r="O30" s="25">
        <f t="shared" si="15"/>
        <v>141.7206902</v>
      </c>
      <c r="P30" s="25">
        <f t="shared" si="16"/>
        <v>245.2128094</v>
      </c>
      <c r="Q30" s="25">
        <f t="shared" si="17"/>
        <v>12.26064047</v>
      </c>
      <c r="R30" s="25">
        <f t="shared" si="18"/>
        <v>257.4734499</v>
      </c>
    </row>
    <row r="31">
      <c r="A31" s="75"/>
      <c r="B31" s="46" t="s">
        <v>126</v>
      </c>
      <c r="C31" s="24">
        <v>30.0</v>
      </c>
      <c r="D31" s="86">
        <v>0.63125</v>
      </c>
      <c r="E31" s="59">
        <v>0.0271408052</v>
      </c>
      <c r="F31" s="60">
        <f t="shared" si="11"/>
        <v>1755.331576</v>
      </c>
      <c r="G31" s="25">
        <v>5587.0</v>
      </c>
      <c r="H31" s="25">
        <f t="shared" si="12"/>
        <v>3831.668424</v>
      </c>
      <c r="I31" s="25">
        <f t="shared" si="13"/>
        <v>3613.59797</v>
      </c>
      <c r="J31" s="64">
        <f>C31*'Rate Codes'!$D$7</f>
        <v>51.76455</v>
      </c>
      <c r="K31" s="25">
        <f>I31*'Rate Codes'!$D$8</f>
        <v>46.8069345</v>
      </c>
      <c r="L31" s="25">
        <f t="shared" si="14"/>
        <v>98.5714845</v>
      </c>
      <c r="M31" s="66">
        <f>I31*'Rate Codes'!$D$8</f>
        <v>46.8069345</v>
      </c>
      <c r="N31" s="67">
        <f>(H31)*'Billing Rate'!$B$1</f>
        <v>260.5534528</v>
      </c>
      <c r="O31" s="25">
        <f t="shared" si="15"/>
        <v>145.378419</v>
      </c>
      <c r="P31" s="25">
        <f t="shared" si="16"/>
        <v>405.9318718</v>
      </c>
      <c r="Q31" s="25">
        <f t="shared" si="17"/>
        <v>20.29659359</v>
      </c>
      <c r="R31" s="25">
        <f t="shared" si="18"/>
        <v>426.2284654</v>
      </c>
    </row>
    <row r="32">
      <c r="A32" s="75"/>
      <c r="B32" s="46" t="s">
        <v>127</v>
      </c>
      <c r="C32" s="24">
        <v>31.0</v>
      </c>
      <c r="D32" s="86">
        <v>0.6680541666666667</v>
      </c>
      <c r="E32" s="59">
        <v>0.01559005293</v>
      </c>
      <c r="F32" s="60">
        <f t="shared" si="11"/>
        <v>1008.286673</v>
      </c>
      <c r="G32" s="25">
        <v>5490.0</v>
      </c>
      <c r="H32" s="25">
        <f t="shared" si="12"/>
        <v>4481.713327</v>
      </c>
      <c r="I32" s="25">
        <f t="shared" si="13"/>
        <v>3757.887657</v>
      </c>
      <c r="J32" s="64">
        <f>C32*'Rate Codes'!$D$7</f>
        <v>53.490035</v>
      </c>
      <c r="K32" s="25">
        <f>I32*'Rate Codes'!$D$8</f>
        <v>48.67591881</v>
      </c>
      <c r="L32" s="25">
        <f t="shared" si="14"/>
        <v>102.1659538</v>
      </c>
      <c r="M32" s="66">
        <f>I32*'Rate Codes'!$D$8</f>
        <v>48.67591881</v>
      </c>
      <c r="N32" s="67">
        <f>(H32)*'Billing Rate'!$B$1</f>
        <v>304.7565062</v>
      </c>
      <c r="O32" s="25">
        <f t="shared" si="15"/>
        <v>150.8418726</v>
      </c>
      <c r="P32" s="25">
        <f t="shared" si="16"/>
        <v>455.5983788</v>
      </c>
      <c r="Q32" s="25">
        <f t="shared" si="17"/>
        <v>22.77991894</v>
      </c>
      <c r="R32" s="25">
        <f t="shared" si="18"/>
        <v>478.3782978</v>
      </c>
    </row>
    <row r="33">
      <c r="A33" s="41"/>
      <c r="B33" s="44" t="s">
        <v>109</v>
      </c>
      <c r="C33" s="44"/>
      <c r="D33" s="44"/>
      <c r="E33" s="68">
        <f t="shared" ref="E33:N33" si="19">SUM(E21:E32)</f>
        <v>1</v>
      </c>
      <c r="F33" s="69">
        <f t="shared" si="19"/>
        <v>64675</v>
      </c>
      <c r="G33" s="48">
        <f t="shared" si="19"/>
        <v>66307</v>
      </c>
      <c r="H33" s="48">
        <f t="shared" si="19"/>
        <v>1631.999999</v>
      </c>
      <c r="I33" s="48">
        <f t="shared" si="19"/>
        <v>33326.89792</v>
      </c>
      <c r="J33" s="48">
        <f t="shared" si="19"/>
        <v>629.802025</v>
      </c>
      <c r="K33" s="48">
        <f t="shared" si="19"/>
        <v>431.6833087</v>
      </c>
      <c r="L33" s="48">
        <f t="shared" si="19"/>
        <v>1061.485334</v>
      </c>
      <c r="M33" s="48">
        <f t="shared" si="19"/>
        <v>431.6833087</v>
      </c>
      <c r="N33" s="48">
        <f t="shared" si="19"/>
        <v>110.976</v>
      </c>
      <c r="O33" s="48">
        <f t="shared" si="15"/>
        <v>1493.168642</v>
      </c>
      <c r="P33" s="48">
        <f t="shared" ref="P33:R33" si="20">SUM(P21:P32)</f>
        <v>1604.144642</v>
      </c>
      <c r="Q33" s="48">
        <f t="shared" si="20"/>
        <v>129.3487927</v>
      </c>
      <c r="R33" s="48">
        <f t="shared" si="20"/>
        <v>1733.493435</v>
      </c>
    </row>
    <row r="35">
      <c r="A35" s="1">
        <v>2.0</v>
      </c>
      <c r="B35" s="1" t="s">
        <v>128</v>
      </c>
      <c r="C35" s="1"/>
      <c r="D35" s="1"/>
      <c r="E35" s="1">
        <f>$E$1* POW((1 -$H$1),A35)</f>
        <v>64351.625</v>
      </c>
      <c r="F35" s="1" t="s">
        <v>132</v>
      </c>
      <c r="G35" s="8">
        <f>E35/G49</f>
        <v>0.9705102779</v>
      </c>
      <c r="H35" s="1" t="s">
        <v>133</v>
      </c>
      <c r="I35" s="6">
        <f>1-G35</f>
        <v>0.02948972205</v>
      </c>
      <c r="J35" s="1" t="s">
        <v>74</v>
      </c>
      <c r="M35" s="1" t="s">
        <v>78</v>
      </c>
    </row>
    <row r="36">
      <c r="B36" s="44" t="s">
        <v>83</v>
      </c>
      <c r="C36" s="20" t="s">
        <v>88</v>
      </c>
      <c r="D36" s="44" t="s">
        <v>87</v>
      </c>
      <c r="E36" s="44" t="s">
        <v>140</v>
      </c>
      <c r="F36" s="44" t="s">
        <v>135</v>
      </c>
      <c r="G36" s="20" t="s">
        <v>89</v>
      </c>
      <c r="H36" s="20" t="s">
        <v>138</v>
      </c>
      <c r="I36" s="20" t="s">
        <v>139</v>
      </c>
      <c r="J36" s="20" t="s">
        <v>76</v>
      </c>
      <c r="K36" s="20" t="s">
        <v>82</v>
      </c>
      <c r="L36" s="20" t="s">
        <v>109</v>
      </c>
      <c r="M36" s="20" t="s">
        <v>80</v>
      </c>
      <c r="N36" s="20" t="s">
        <v>67</v>
      </c>
      <c r="O36" s="45" t="s">
        <v>114</v>
      </c>
      <c r="P36" s="45" t="s">
        <v>115</v>
      </c>
      <c r="Q36" s="45" t="s">
        <v>60</v>
      </c>
      <c r="R36" s="45" t="s">
        <v>109</v>
      </c>
    </row>
    <row r="37">
      <c r="B37" s="46" t="s">
        <v>117</v>
      </c>
      <c r="C37" s="24">
        <v>31.0</v>
      </c>
      <c r="D37" s="86">
        <v>0.6479166666666667</v>
      </c>
      <c r="E37" s="59">
        <v>0.02731296772</v>
      </c>
      <c r="F37" s="60">
        <f t="shared" ref="F37:F48" si="21">$E$35*E37</f>
        <v>1757.633856</v>
      </c>
      <c r="G37" s="25">
        <v>5726.0</v>
      </c>
      <c r="H37" s="25">
        <f t="shared" ref="H37:H48" si="22">G37-F37</f>
        <v>3968.366144</v>
      </c>
      <c r="I37" s="25">
        <f t="shared" ref="I37:I48" si="23">D37*G37*(1+$I$35)</f>
        <v>3819.376842</v>
      </c>
      <c r="J37" s="64">
        <f>C37*'Rate Codes'!$D$7</f>
        <v>53.490035</v>
      </c>
      <c r="K37" s="25">
        <f>I37*'Rate Codes'!$D$8</f>
        <v>49.47238823</v>
      </c>
      <c r="L37" s="25">
        <f t="shared" ref="L37:L48" si="24">SUM(J37:K37)</f>
        <v>102.9624232</v>
      </c>
      <c r="M37" s="66">
        <f>I37*'Rate Codes'!$D$8</f>
        <v>49.47238823</v>
      </c>
      <c r="N37" s="67">
        <f>(H37)*'Billing Rate'!$B$1</f>
        <v>269.8488978</v>
      </c>
      <c r="O37" s="25">
        <f t="shared" ref="O37:O49" si="25">L37+M37</f>
        <v>152.4348115</v>
      </c>
      <c r="P37" s="25">
        <f t="shared" ref="P37:P48" si="26">N37+L37+M37</f>
        <v>422.2837092</v>
      </c>
      <c r="Q37" s="25">
        <f t="shared" ref="Q37:Q48" si="27">(IF(N37&gt;0,N37,0)+O37)*0.05</f>
        <v>21.11418546</v>
      </c>
      <c r="R37" s="25">
        <f t="shared" ref="R37:R48" si="28">P37+Q37</f>
        <v>443.3978947</v>
      </c>
    </row>
    <row r="38">
      <c r="B38" s="46" t="s">
        <v>118</v>
      </c>
      <c r="C38" s="24">
        <v>28.0</v>
      </c>
      <c r="D38" s="86">
        <v>0.5868041666666667</v>
      </c>
      <c r="E38" s="59">
        <v>0.04620731865</v>
      </c>
      <c r="F38" s="60">
        <f t="shared" si="21"/>
        <v>2973.516042</v>
      </c>
      <c r="G38" s="25">
        <v>5279.0</v>
      </c>
      <c r="H38" s="25">
        <f t="shared" si="22"/>
        <v>2305.483958</v>
      </c>
      <c r="I38" s="25">
        <f t="shared" si="23"/>
        <v>3189.090664</v>
      </c>
      <c r="J38" s="64">
        <f>C38*'Rate Codes'!$D$7</f>
        <v>48.31358</v>
      </c>
      <c r="K38" s="25">
        <f>I38*'Rate Codes'!$D$8</f>
        <v>41.30829137</v>
      </c>
      <c r="L38" s="25">
        <f t="shared" si="24"/>
        <v>89.62187137</v>
      </c>
      <c r="M38" s="66">
        <f>I38*'Rate Codes'!$D$8</f>
        <v>41.30829137</v>
      </c>
      <c r="N38" s="67">
        <f>(H38)*'Billing Rate'!$B$1</f>
        <v>156.7729091</v>
      </c>
      <c r="O38" s="25">
        <f t="shared" si="25"/>
        <v>130.9301627</v>
      </c>
      <c r="P38" s="25">
        <f t="shared" si="26"/>
        <v>287.7030719</v>
      </c>
      <c r="Q38" s="25">
        <f t="shared" si="27"/>
        <v>14.38515359</v>
      </c>
      <c r="R38" s="25">
        <f t="shared" si="28"/>
        <v>302.0882255</v>
      </c>
    </row>
    <row r="39">
      <c r="B39" s="46" t="s">
        <v>119</v>
      </c>
      <c r="C39" s="24">
        <v>31.0</v>
      </c>
      <c r="D39" s="86">
        <v>0.5083333333333333</v>
      </c>
      <c r="E39" s="59">
        <v>0.08500831624</v>
      </c>
      <c r="F39" s="60">
        <f t="shared" si="21"/>
        <v>5470.423289</v>
      </c>
      <c r="G39" s="25">
        <v>4991.0</v>
      </c>
      <c r="H39" s="25">
        <f t="shared" si="22"/>
        <v>-479.4232886</v>
      </c>
      <c r="I39" s="25">
        <f t="shared" si="23"/>
        <v>2611.909795</v>
      </c>
      <c r="J39" s="64">
        <f>C39*'Rate Codes'!$D$7</f>
        <v>53.490035</v>
      </c>
      <c r="K39" s="25">
        <f>I39*'Rate Codes'!$D$8</f>
        <v>33.83206757</v>
      </c>
      <c r="L39" s="25">
        <f t="shared" si="24"/>
        <v>87.32210257</v>
      </c>
      <c r="M39" s="66">
        <f>I39*'Rate Codes'!$D$8</f>
        <v>33.83206757</v>
      </c>
      <c r="N39" s="67">
        <f>(H39)*'Billing Rate'!$B$1</f>
        <v>-32.60078362</v>
      </c>
      <c r="O39" s="25">
        <f t="shared" si="25"/>
        <v>121.1541701</v>
      </c>
      <c r="P39" s="25">
        <f t="shared" si="26"/>
        <v>88.55338652</v>
      </c>
      <c r="Q39" s="25">
        <f t="shared" si="27"/>
        <v>6.057708507</v>
      </c>
      <c r="R39" s="25">
        <f t="shared" si="28"/>
        <v>94.61109503</v>
      </c>
    </row>
    <row r="40">
      <c r="B40" s="46" t="s">
        <v>120</v>
      </c>
      <c r="C40" s="24">
        <v>30.0</v>
      </c>
      <c r="D40" s="86">
        <v>0.425</v>
      </c>
      <c r="E40" s="59">
        <v>0.108773175</v>
      </c>
      <c r="F40" s="60">
        <f t="shared" si="21"/>
        <v>6999.730568</v>
      </c>
      <c r="G40" s="25">
        <v>4952.0</v>
      </c>
      <c r="H40" s="25">
        <f t="shared" si="22"/>
        <v>-2047.730568</v>
      </c>
      <c r="I40" s="25">
        <f t="shared" si="23"/>
        <v>2166.664069</v>
      </c>
      <c r="J40" s="64">
        <f>C40*'Rate Codes'!$D$7</f>
        <v>51.76455</v>
      </c>
      <c r="K40" s="25">
        <f>I40*'Rate Codes'!$D$8</f>
        <v>28.06479969</v>
      </c>
      <c r="L40" s="25">
        <f t="shared" si="24"/>
        <v>79.82934969</v>
      </c>
      <c r="M40" s="66">
        <f>I40*'Rate Codes'!$D$8</f>
        <v>28.06479969</v>
      </c>
      <c r="N40" s="67">
        <f>(H40)*'Billing Rate'!$B$1</f>
        <v>-139.2456786</v>
      </c>
      <c r="O40" s="25">
        <f t="shared" si="25"/>
        <v>107.8941494</v>
      </c>
      <c r="P40" s="25">
        <f t="shared" si="26"/>
        <v>-31.35152923</v>
      </c>
      <c r="Q40" s="25">
        <f t="shared" si="27"/>
        <v>5.394707469</v>
      </c>
      <c r="R40" s="25">
        <f t="shared" si="28"/>
        <v>-25.95682176</v>
      </c>
    </row>
    <row r="41">
      <c r="B41" s="46" t="s">
        <v>98</v>
      </c>
      <c r="C41" s="24">
        <v>31.0</v>
      </c>
      <c r="D41" s="86">
        <v>0.35277916666666664</v>
      </c>
      <c r="E41" s="59">
        <v>0.1281742617</v>
      </c>
      <c r="F41" s="60">
        <f t="shared" si="21"/>
        <v>8248.222024</v>
      </c>
      <c r="G41" s="25">
        <v>5559.0</v>
      </c>
      <c r="H41" s="25">
        <f t="shared" si="22"/>
        <v>-2689.222024</v>
      </c>
      <c r="I41" s="25">
        <f t="shared" si="23"/>
        <v>2018.931663</v>
      </c>
      <c r="J41" s="64">
        <f>C41*'Rate Codes'!$D$7</f>
        <v>53.490035</v>
      </c>
      <c r="K41" s="25">
        <f>I41*'Rate Codes'!$D$8</f>
        <v>26.15122184</v>
      </c>
      <c r="L41" s="25">
        <f t="shared" si="24"/>
        <v>79.64125684</v>
      </c>
      <c r="M41" s="66">
        <f>I41*'Rate Codes'!$D$8</f>
        <v>26.15122184</v>
      </c>
      <c r="N41" s="67">
        <f>(H41)*'Billing Rate'!$B$1</f>
        <v>-182.8670976</v>
      </c>
      <c r="O41" s="25">
        <f t="shared" si="25"/>
        <v>105.7924787</v>
      </c>
      <c r="P41" s="25">
        <f t="shared" si="26"/>
        <v>-77.07461893</v>
      </c>
      <c r="Q41" s="25">
        <f t="shared" si="27"/>
        <v>5.289623934</v>
      </c>
      <c r="R41" s="25">
        <f t="shared" si="28"/>
        <v>-71.784995</v>
      </c>
    </row>
    <row r="42">
      <c r="B42" s="46" t="s">
        <v>121</v>
      </c>
      <c r="C42" s="24">
        <v>30.0</v>
      </c>
      <c r="D42" s="86">
        <v>0.31388750000000004</v>
      </c>
      <c r="E42" s="59">
        <v>0.1254860808</v>
      </c>
      <c r="F42" s="60">
        <f t="shared" si="21"/>
        <v>8075.233214</v>
      </c>
      <c r="G42" s="25">
        <v>4964.0</v>
      </c>
      <c r="H42" s="25">
        <f t="shared" si="22"/>
        <v>-3111.233214</v>
      </c>
      <c r="I42" s="25">
        <f t="shared" si="23"/>
        <v>1604.086593</v>
      </c>
      <c r="J42" s="64">
        <f>C42*'Rate Codes'!$D$7</f>
        <v>51.76455</v>
      </c>
      <c r="K42" s="25">
        <f>I42*'Rate Codes'!$D$8</f>
        <v>20.77773364</v>
      </c>
      <c r="L42" s="25">
        <f t="shared" si="24"/>
        <v>72.54228364</v>
      </c>
      <c r="M42" s="66">
        <f>I42*'Rate Codes'!$D$8</f>
        <v>20.77773364</v>
      </c>
      <c r="N42" s="67">
        <f>(H42)*'Billing Rate'!$B$1</f>
        <v>-211.5638586</v>
      </c>
      <c r="O42" s="25">
        <f t="shared" si="25"/>
        <v>93.32001729</v>
      </c>
      <c r="P42" s="25">
        <f t="shared" si="26"/>
        <v>-118.2438413</v>
      </c>
      <c r="Q42" s="25">
        <f t="shared" si="27"/>
        <v>4.666000864</v>
      </c>
      <c r="R42" s="25">
        <f t="shared" si="28"/>
        <v>-113.5778404</v>
      </c>
    </row>
    <row r="43">
      <c r="B43" s="46" t="s">
        <v>122</v>
      </c>
      <c r="C43" s="24">
        <v>31.0</v>
      </c>
      <c r="D43" s="86">
        <v>0.33125</v>
      </c>
      <c r="E43" s="59">
        <v>0.1449493112</v>
      </c>
      <c r="F43" s="60">
        <f t="shared" si="21"/>
        <v>9327.723718</v>
      </c>
      <c r="G43" s="25">
        <v>6634.0</v>
      </c>
      <c r="H43" s="25">
        <f t="shared" si="22"/>
        <v>-2693.723718</v>
      </c>
      <c r="I43" s="25">
        <f t="shared" si="23"/>
        <v>2262.316533</v>
      </c>
      <c r="J43" s="64">
        <f>C43*'Rate Codes'!$D$7</f>
        <v>53.490035</v>
      </c>
      <c r="K43" s="25">
        <f>I43*'Rate Codes'!$D$8</f>
        <v>29.30378605</v>
      </c>
      <c r="L43" s="25">
        <f t="shared" si="24"/>
        <v>82.79382105</v>
      </c>
      <c r="M43" s="66">
        <f>I43*'Rate Codes'!$D$8</f>
        <v>29.30378605</v>
      </c>
      <c r="N43" s="67">
        <f>(H43)*'Billing Rate'!$B$1</f>
        <v>-183.1732128</v>
      </c>
      <c r="O43" s="25">
        <f t="shared" si="25"/>
        <v>112.0976071</v>
      </c>
      <c r="P43" s="25">
        <f t="shared" si="26"/>
        <v>-71.07560575</v>
      </c>
      <c r="Q43" s="25">
        <f t="shared" si="27"/>
        <v>5.604880355</v>
      </c>
      <c r="R43" s="25">
        <f t="shared" si="28"/>
        <v>-65.47072539</v>
      </c>
    </row>
    <row r="44">
      <c r="B44" s="46" t="s">
        <v>123</v>
      </c>
      <c r="C44" s="24">
        <v>31.0</v>
      </c>
      <c r="D44" s="86">
        <v>0.3951375</v>
      </c>
      <c r="E44" s="59">
        <v>0.1246952409</v>
      </c>
      <c r="F44" s="60">
        <f t="shared" si="21"/>
        <v>8024.341382</v>
      </c>
      <c r="G44" s="25">
        <v>5909.0</v>
      </c>
      <c r="H44" s="25">
        <f t="shared" si="22"/>
        <v>-2115.341382</v>
      </c>
      <c r="I44" s="25">
        <f t="shared" si="23"/>
        <v>2403.722081</v>
      </c>
      <c r="J44" s="64">
        <f>C44*'Rate Codes'!$D$7</f>
        <v>53.490035</v>
      </c>
      <c r="K44" s="25">
        <f>I44*'Rate Codes'!$D$8</f>
        <v>31.13541211</v>
      </c>
      <c r="L44" s="25">
        <f t="shared" si="24"/>
        <v>84.62544711</v>
      </c>
      <c r="M44" s="66">
        <f>I44*'Rate Codes'!$D$8</f>
        <v>31.13541211</v>
      </c>
      <c r="N44" s="67">
        <f>(H44)*'Billing Rate'!$B$1</f>
        <v>-143.843214</v>
      </c>
      <c r="O44" s="25">
        <f t="shared" si="25"/>
        <v>115.7608592</v>
      </c>
      <c r="P44" s="25">
        <f t="shared" si="26"/>
        <v>-28.08235473</v>
      </c>
      <c r="Q44" s="25">
        <f t="shared" si="27"/>
        <v>5.788042961</v>
      </c>
      <c r="R44" s="25">
        <f t="shared" si="28"/>
        <v>-22.29431177</v>
      </c>
    </row>
    <row r="45">
      <c r="B45" s="46" t="s">
        <v>124</v>
      </c>
      <c r="C45" s="24">
        <v>30.0</v>
      </c>
      <c r="D45" s="86">
        <v>0.4756958333333334</v>
      </c>
      <c r="E45" s="59">
        <v>0.09825803101</v>
      </c>
      <c r="F45" s="60">
        <f t="shared" si="21"/>
        <v>6323.063965</v>
      </c>
      <c r="G45" s="25">
        <v>5270.0</v>
      </c>
      <c r="H45" s="25">
        <f t="shared" si="22"/>
        <v>-1053.063965</v>
      </c>
      <c r="I45" s="25">
        <f t="shared" si="23"/>
        <v>2580.845328</v>
      </c>
      <c r="J45" s="64">
        <f>C45*'Rate Codes'!$D$7</f>
        <v>51.76455</v>
      </c>
      <c r="K45" s="25">
        <f>I45*'Rate Codes'!$D$8</f>
        <v>33.42968954</v>
      </c>
      <c r="L45" s="25">
        <f t="shared" si="24"/>
        <v>85.19423954</v>
      </c>
      <c r="M45" s="66">
        <f>I45*'Rate Codes'!$D$8</f>
        <v>33.42968954</v>
      </c>
      <c r="N45" s="67">
        <f>(H45)*'Billing Rate'!$B$1</f>
        <v>-71.60834961</v>
      </c>
      <c r="O45" s="25">
        <f t="shared" si="25"/>
        <v>118.6239291</v>
      </c>
      <c r="P45" s="25">
        <f t="shared" si="26"/>
        <v>47.01557947</v>
      </c>
      <c r="Q45" s="25">
        <f t="shared" si="27"/>
        <v>5.931196454</v>
      </c>
      <c r="R45" s="25">
        <f t="shared" si="28"/>
        <v>52.94677593</v>
      </c>
    </row>
    <row r="46">
      <c r="B46" s="46" t="s">
        <v>125</v>
      </c>
      <c r="C46" s="24">
        <v>31.0</v>
      </c>
      <c r="D46" s="86">
        <v>0.5590291666666667</v>
      </c>
      <c r="E46" s="59">
        <v>0.06840443866</v>
      </c>
      <c r="F46" s="60">
        <f t="shared" si="21"/>
        <v>4401.936785</v>
      </c>
      <c r="G46" s="25">
        <v>5946.0</v>
      </c>
      <c r="H46" s="25">
        <f t="shared" si="22"/>
        <v>1544.063215</v>
      </c>
      <c r="I46" s="25">
        <f t="shared" si="23"/>
        <v>3422.01089</v>
      </c>
      <c r="J46" s="64">
        <f>C46*'Rate Codes'!$D$7</f>
        <v>53.490035</v>
      </c>
      <c r="K46" s="25">
        <f>I46*'Rate Codes'!$D$8</f>
        <v>44.32530706</v>
      </c>
      <c r="L46" s="25">
        <f t="shared" si="24"/>
        <v>97.81534206</v>
      </c>
      <c r="M46" s="66">
        <f>I46*'Rate Codes'!$D$8</f>
        <v>44.32530706</v>
      </c>
      <c r="N46" s="67">
        <f>(H46)*'Billing Rate'!$B$1</f>
        <v>104.9962986</v>
      </c>
      <c r="O46" s="25">
        <f t="shared" si="25"/>
        <v>142.1406491</v>
      </c>
      <c r="P46" s="25">
        <f t="shared" si="26"/>
        <v>247.1369477</v>
      </c>
      <c r="Q46" s="25">
        <f t="shared" si="27"/>
        <v>12.35684739</v>
      </c>
      <c r="R46" s="25">
        <f t="shared" si="28"/>
        <v>259.4937951</v>
      </c>
    </row>
    <row r="47">
      <c r="B47" s="46" t="s">
        <v>126</v>
      </c>
      <c r="C47" s="24">
        <v>30.0</v>
      </c>
      <c r="D47" s="86">
        <v>0.63125</v>
      </c>
      <c r="E47" s="59">
        <v>0.0271408052</v>
      </c>
      <c r="F47" s="60">
        <f t="shared" si="21"/>
        <v>1746.554918</v>
      </c>
      <c r="G47" s="25">
        <v>5587.0</v>
      </c>
      <c r="H47" s="25">
        <f t="shared" si="22"/>
        <v>3840.445082</v>
      </c>
      <c r="I47" s="25">
        <f t="shared" si="23"/>
        <v>3630.797917</v>
      </c>
      <c r="J47" s="64">
        <f>C47*'Rate Codes'!$D$7</f>
        <v>51.76455</v>
      </c>
      <c r="K47" s="25">
        <f>I47*'Rate Codes'!$D$8</f>
        <v>47.02972542</v>
      </c>
      <c r="L47" s="25">
        <f t="shared" si="24"/>
        <v>98.79427542</v>
      </c>
      <c r="M47" s="66">
        <f>I47*'Rate Codes'!$D$8</f>
        <v>47.02972542</v>
      </c>
      <c r="N47" s="67">
        <f>(H47)*'Billing Rate'!$B$1</f>
        <v>261.1502655</v>
      </c>
      <c r="O47" s="25">
        <f t="shared" si="25"/>
        <v>145.8240008</v>
      </c>
      <c r="P47" s="25">
        <f t="shared" si="26"/>
        <v>406.9742664</v>
      </c>
      <c r="Q47" s="25">
        <f t="shared" si="27"/>
        <v>20.34871332</v>
      </c>
      <c r="R47" s="25">
        <f t="shared" si="28"/>
        <v>427.3229797</v>
      </c>
    </row>
    <row r="48">
      <c r="B48" s="46" t="s">
        <v>127</v>
      </c>
      <c r="C48" s="24">
        <v>31.0</v>
      </c>
      <c r="D48" s="86">
        <v>0.6680541666666667</v>
      </c>
      <c r="E48" s="59">
        <v>0.01559005293</v>
      </c>
      <c r="F48" s="60">
        <f t="shared" si="21"/>
        <v>1003.24524</v>
      </c>
      <c r="G48" s="25">
        <v>5490.0</v>
      </c>
      <c r="H48" s="25">
        <f t="shared" si="22"/>
        <v>4486.75476</v>
      </c>
      <c r="I48" s="25">
        <f t="shared" si="23"/>
        <v>3775.774392</v>
      </c>
      <c r="J48" s="64">
        <f>C48*'Rate Codes'!$D$7</f>
        <v>53.490035</v>
      </c>
      <c r="K48" s="25">
        <f>I48*'Rate Codes'!$D$8</f>
        <v>48.9076057</v>
      </c>
      <c r="L48" s="25">
        <f t="shared" si="24"/>
        <v>102.3976407</v>
      </c>
      <c r="M48" s="66">
        <f>I48*'Rate Codes'!$D$8</f>
        <v>48.9076057</v>
      </c>
      <c r="N48" s="67">
        <f>(H48)*'Billing Rate'!$B$1</f>
        <v>305.0993237</v>
      </c>
      <c r="O48" s="25">
        <f t="shared" si="25"/>
        <v>151.3052464</v>
      </c>
      <c r="P48" s="25">
        <f t="shared" si="26"/>
        <v>456.4045701</v>
      </c>
      <c r="Q48" s="25">
        <f t="shared" si="27"/>
        <v>22.8202285</v>
      </c>
      <c r="R48" s="25">
        <f t="shared" si="28"/>
        <v>479.2247986</v>
      </c>
    </row>
    <row r="49">
      <c r="B49" s="44" t="s">
        <v>109</v>
      </c>
      <c r="C49" s="44"/>
      <c r="D49" s="44"/>
      <c r="E49" s="68">
        <f t="shared" ref="E49:N49" si="29">SUM(E37:E48)</f>
        <v>1</v>
      </c>
      <c r="F49" s="69">
        <f t="shared" si="29"/>
        <v>64351.625</v>
      </c>
      <c r="G49" s="48">
        <f t="shared" si="29"/>
        <v>66307</v>
      </c>
      <c r="H49" s="48">
        <f t="shared" si="29"/>
        <v>1955.374999</v>
      </c>
      <c r="I49" s="48">
        <f t="shared" si="29"/>
        <v>33485.52677</v>
      </c>
      <c r="J49" s="48">
        <f t="shared" si="29"/>
        <v>629.802025</v>
      </c>
      <c r="K49" s="48">
        <f t="shared" si="29"/>
        <v>433.7380282</v>
      </c>
      <c r="L49" s="48">
        <f t="shared" si="29"/>
        <v>1063.540053</v>
      </c>
      <c r="M49" s="48">
        <f t="shared" si="29"/>
        <v>433.7380282</v>
      </c>
      <c r="N49" s="48">
        <f t="shared" si="29"/>
        <v>132.9655</v>
      </c>
      <c r="O49" s="48">
        <f t="shared" si="25"/>
        <v>1497.278081</v>
      </c>
      <c r="P49" s="48">
        <f t="shared" ref="P49:R49" si="30">SUM(P37:P48)</f>
        <v>1630.243581</v>
      </c>
      <c r="Q49" s="48">
        <f t="shared" si="30"/>
        <v>129.7572888</v>
      </c>
      <c r="R49" s="48">
        <f t="shared" si="30"/>
        <v>1760.00087</v>
      </c>
    </row>
    <row r="51">
      <c r="A51" s="1">
        <v>3.0</v>
      </c>
      <c r="B51" s="1" t="s">
        <v>128</v>
      </c>
      <c r="C51" s="1"/>
      <c r="D51" s="1"/>
      <c r="E51" s="1">
        <f>$E$1* POW((1 -$H$1),A51)</f>
        <v>64029.86688</v>
      </c>
      <c r="F51" s="1" t="s">
        <v>132</v>
      </c>
      <c r="G51" s="8">
        <f>E51/G65</f>
        <v>0.9656577266</v>
      </c>
      <c r="H51" s="1" t="s">
        <v>133</v>
      </c>
      <c r="I51" s="6">
        <f>1-G51</f>
        <v>0.03434227344</v>
      </c>
      <c r="J51" s="1" t="s">
        <v>74</v>
      </c>
      <c r="M51" s="1" t="s">
        <v>78</v>
      </c>
    </row>
    <row r="52">
      <c r="B52" s="44" t="s">
        <v>83</v>
      </c>
      <c r="C52" s="20" t="s">
        <v>88</v>
      </c>
      <c r="D52" s="44" t="s">
        <v>87</v>
      </c>
      <c r="E52" s="44" t="s">
        <v>140</v>
      </c>
      <c r="F52" s="44" t="s">
        <v>135</v>
      </c>
      <c r="G52" s="20" t="s">
        <v>89</v>
      </c>
      <c r="H52" s="20" t="s">
        <v>138</v>
      </c>
      <c r="I52" s="20" t="s">
        <v>139</v>
      </c>
      <c r="J52" s="20" t="s">
        <v>76</v>
      </c>
      <c r="K52" s="20" t="s">
        <v>82</v>
      </c>
      <c r="L52" s="20" t="s">
        <v>109</v>
      </c>
      <c r="M52" s="20" t="s">
        <v>80</v>
      </c>
      <c r="N52" s="20" t="s">
        <v>67</v>
      </c>
      <c r="O52" s="45" t="s">
        <v>114</v>
      </c>
      <c r="P52" s="45" t="s">
        <v>115</v>
      </c>
      <c r="Q52" s="45" t="s">
        <v>60</v>
      </c>
      <c r="R52" s="45" t="s">
        <v>109</v>
      </c>
    </row>
    <row r="53">
      <c r="B53" s="46" t="s">
        <v>117</v>
      </c>
      <c r="C53" s="24">
        <v>31.0</v>
      </c>
      <c r="D53" s="86">
        <v>0.6479166666666667</v>
      </c>
      <c r="E53" s="59">
        <v>0.02731296772</v>
      </c>
      <c r="F53" s="60">
        <f t="shared" ref="F53:F64" si="31">$E$51*E53</f>
        <v>1748.845687</v>
      </c>
      <c r="G53" s="25">
        <v>5726.0</v>
      </c>
      <c r="H53" s="25">
        <f t="shared" ref="H53:H64" si="32">G53-F53</f>
        <v>3977.154313</v>
      </c>
      <c r="I53" s="25">
        <f t="shared" ref="I53:I64" si="33">D53*G53*(1+$I$51)</f>
        <v>3837.379666</v>
      </c>
      <c r="J53" s="64">
        <f>C53*'Rate Codes'!$D$7</f>
        <v>53.490035</v>
      </c>
      <c r="K53" s="25">
        <f>I53*'Rate Codes'!$D$8</f>
        <v>49.70557882</v>
      </c>
      <c r="L53" s="25">
        <f t="shared" ref="L53:L64" si="34">SUM(J53:K53)</f>
        <v>103.1956138</v>
      </c>
      <c r="M53" s="66">
        <f>I53*'Rate Codes'!$D$8</f>
        <v>49.70557882</v>
      </c>
      <c r="N53" s="67">
        <f>(H53)*'Billing Rate'!$B$1</f>
        <v>270.4464933</v>
      </c>
      <c r="O53" s="25">
        <f t="shared" ref="O53:O65" si="35">L53+M53</f>
        <v>152.9011926</v>
      </c>
      <c r="P53" s="25">
        <f t="shared" ref="P53:P64" si="36">N53+L53+M53</f>
        <v>423.3476859</v>
      </c>
      <c r="Q53" s="25">
        <f t="shared" ref="Q53:Q64" si="37">(IF(N53&gt;0,N53,0)+O53)*0.05</f>
        <v>21.1673843</v>
      </c>
      <c r="R53" s="25">
        <f t="shared" ref="R53:R64" si="38">P53+Q53</f>
        <v>444.5150702</v>
      </c>
    </row>
    <row r="54">
      <c r="B54" s="46" t="s">
        <v>118</v>
      </c>
      <c r="C54" s="24">
        <v>28.0</v>
      </c>
      <c r="D54" s="86">
        <v>0.5868041666666667</v>
      </c>
      <c r="E54" s="59">
        <v>0.04620731865</v>
      </c>
      <c r="F54" s="60">
        <f t="shared" si="31"/>
        <v>2958.648462</v>
      </c>
      <c r="G54" s="25">
        <v>5279.0</v>
      </c>
      <c r="H54" s="25">
        <f t="shared" si="32"/>
        <v>2320.351538</v>
      </c>
      <c r="I54" s="25">
        <f t="shared" si="33"/>
        <v>3204.122602</v>
      </c>
      <c r="J54" s="64">
        <f>C54*'Rate Codes'!$D$7</f>
        <v>48.31358</v>
      </c>
      <c r="K54" s="25">
        <f>I54*'Rate Codes'!$D$8</f>
        <v>41.50300007</v>
      </c>
      <c r="L54" s="25">
        <f t="shared" si="34"/>
        <v>89.81658007</v>
      </c>
      <c r="M54" s="66">
        <f>I54*'Rate Codes'!$D$8</f>
        <v>41.50300007</v>
      </c>
      <c r="N54" s="67">
        <f>(H54)*'Billing Rate'!$B$1</f>
        <v>157.7839046</v>
      </c>
      <c r="O54" s="25">
        <f t="shared" si="35"/>
        <v>131.3195801</v>
      </c>
      <c r="P54" s="25">
        <f t="shared" si="36"/>
        <v>289.1034847</v>
      </c>
      <c r="Q54" s="25">
        <f t="shared" si="37"/>
        <v>14.45517424</v>
      </c>
      <c r="R54" s="25">
        <f t="shared" si="38"/>
        <v>303.558659</v>
      </c>
    </row>
    <row r="55">
      <c r="B55" s="46" t="s">
        <v>119</v>
      </c>
      <c r="C55" s="24">
        <v>31.0</v>
      </c>
      <c r="D55" s="86">
        <v>0.5083333333333333</v>
      </c>
      <c r="E55" s="59">
        <v>0.08500831624</v>
      </c>
      <c r="F55" s="60">
        <f t="shared" si="31"/>
        <v>5443.071172</v>
      </c>
      <c r="G55" s="25">
        <v>4991.0</v>
      </c>
      <c r="H55" s="25">
        <f t="shared" si="32"/>
        <v>-452.0711721</v>
      </c>
      <c r="I55" s="25">
        <f t="shared" si="33"/>
        <v>2624.221162</v>
      </c>
      <c r="J55" s="64">
        <f>C55*'Rate Codes'!$D$7</f>
        <v>53.490035</v>
      </c>
      <c r="K55" s="25">
        <f>I55*'Rate Codes'!$D$8</f>
        <v>33.99153672</v>
      </c>
      <c r="L55" s="25">
        <f t="shared" si="34"/>
        <v>87.48157172</v>
      </c>
      <c r="M55" s="66">
        <f>I55*'Rate Codes'!$D$8</f>
        <v>33.99153672</v>
      </c>
      <c r="N55" s="67">
        <f>(H55)*'Billing Rate'!$B$1</f>
        <v>-30.7408397</v>
      </c>
      <c r="O55" s="25">
        <f t="shared" si="35"/>
        <v>121.4731084</v>
      </c>
      <c r="P55" s="25">
        <f t="shared" si="36"/>
        <v>90.73226873</v>
      </c>
      <c r="Q55" s="25">
        <f t="shared" si="37"/>
        <v>6.073655422</v>
      </c>
      <c r="R55" s="25">
        <f t="shared" si="38"/>
        <v>96.80592415</v>
      </c>
    </row>
    <row r="56">
      <c r="B56" s="46" t="s">
        <v>120</v>
      </c>
      <c r="C56" s="24">
        <v>30.0</v>
      </c>
      <c r="D56" s="86">
        <v>0.425</v>
      </c>
      <c r="E56" s="59">
        <v>0.108773175</v>
      </c>
      <c r="F56" s="60">
        <f t="shared" si="31"/>
        <v>6964.731915</v>
      </c>
      <c r="G56" s="25">
        <v>4952.0</v>
      </c>
      <c r="H56" s="25">
        <f t="shared" si="32"/>
        <v>-2012.731915</v>
      </c>
      <c r="I56" s="25">
        <f t="shared" si="33"/>
        <v>2176.876749</v>
      </c>
      <c r="J56" s="64">
        <f>C56*'Rate Codes'!$D$7</f>
        <v>51.76455</v>
      </c>
      <c r="K56" s="25">
        <f>I56*'Rate Codes'!$D$8</f>
        <v>28.19708453</v>
      </c>
      <c r="L56" s="25">
        <f t="shared" si="34"/>
        <v>79.96163453</v>
      </c>
      <c r="M56" s="66">
        <f>I56*'Rate Codes'!$D$8</f>
        <v>28.19708453</v>
      </c>
      <c r="N56" s="67">
        <f>(H56)*'Billing Rate'!$B$1</f>
        <v>-136.8657702</v>
      </c>
      <c r="O56" s="25">
        <f t="shared" si="35"/>
        <v>108.1587191</v>
      </c>
      <c r="P56" s="25">
        <f t="shared" si="36"/>
        <v>-28.70705116</v>
      </c>
      <c r="Q56" s="25">
        <f t="shared" si="37"/>
        <v>5.407935953</v>
      </c>
      <c r="R56" s="25">
        <f t="shared" si="38"/>
        <v>-23.2991152</v>
      </c>
    </row>
    <row r="57">
      <c r="B57" s="46" t="s">
        <v>98</v>
      </c>
      <c r="C57" s="24">
        <v>31.0</v>
      </c>
      <c r="D57" s="86">
        <v>0.35277916666666664</v>
      </c>
      <c r="E57" s="59">
        <v>0.1281742617</v>
      </c>
      <c r="F57" s="60">
        <f t="shared" si="31"/>
        <v>8206.980913</v>
      </c>
      <c r="G57" s="25">
        <v>5559.0</v>
      </c>
      <c r="H57" s="25">
        <f t="shared" si="32"/>
        <v>-2647.980913</v>
      </c>
      <c r="I57" s="25">
        <f t="shared" si="33"/>
        <v>2028.447999</v>
      </c>
      <c r="J57" s="64">
        <f>C57*'Rate Codes'!$D$7</f>
        <v>53.490035</v>
      </c>
      <c r="K57" s="25">
        <f>I57*'Rate Codes'!$D$8</f>
        <v>26.27448693</v>
      </c>
      <c r="L57" s="25">
        <f t="shared" si="34"/>
        <v>79.76452193</v>
      </c>
      <c r="M57" s="66">
        <f>I57*'Rate Codes'!$D$8</f>
        <v>26.27448693</v>
      </c>
      <c r="N57" s="67">
        <f>(H57)*'Billing Rate'!$B$1</f>
        <v>-180.0627021</v>
      </c>
      <c r="O57" s="25">
        <f t="shared" si="35"/>
        <v>106.0390089</v>
      </c>
      <c r="P57" s="25">
        <f t="shared" si="36"/>
        <v>-74.02369326</v>
      </c>
      <c r="Q57" s="25">
        <f t="shared" si="37"/>
        <v>5.301950443</v>
      </c>
      <c r="R57" s="25">
        <f t="shared" si="38"/>
        <v>-68.72174281</v>
      </c>
    </row>
    <row r="58">
      <c r="B58" s="46" t="s">
        <v>121</v>
      </c>
      <c r="C58" s="24">
        <v>30.0</v>
      </c>
      <c r="D58" s="86">
        <v>0.31388750000000004</v>
      </c>
      <c r="E58" s="59">
        <v>0.1254860808</v>
      </c>
      <c r="F58" s="60">
        <f t="shared" si="31"/>
        <v>8034.857048</v>
      </c>
      <c r="G58" s="25">
        <v>4964.0</v>
      </c>
      <c r="H58" s="25">
        <f t="shared" si="32"/>
        <v>-3070.857048</v>
      </c>
      <c r="I58" s="25">
        <f t="shared" si="33"/>
        <v>1611.647536</v>
      </c>
      <c r="J58" s="64">
        <f>C58*'Rate Codes'!$D$7</f>
        <v>51.76455</v>
      </c>
      <c r="K58" s="25">
        <f>I58*'Rate Codes'!$D$8</f>
        <v>20.87567053</v>
      </c>
      <c r="L58" s="25">
        <f t="shared" si="34"/>
        <v>72.64022053</v>
      </c>
      <c r="M58" s="66">
        <f>I58*'Rate Codes'!$D$8</f>
        <v>20.87567053</v>
      </c>
      <c r="N58" s="67">
        <f>(H58)*'Billing Rate'!$B$1</f>
        <v>-208.8182793</v>
      </c>
      <c r="O58" s="25">
        <f t="shared" si="35"/>
        <v>93.51589106</v>
      </c>
      <c r="P58" s="25">
        <f t="shared" si="36"/>
        <v>-115.3023882</v>
      </c>
      <c r="Q58" s="25">
        <f t="shared" si="37"/>
        <v>4.675794553</v>
      </c>
      <c r="R58" s="25">
        <f t="shared" si="38"/>
        <v>-110.6265937</v>
      </c>
    </row>
    <row r="59">
      <c r="B59" s="46" t="s">
        <v>122</v>
      </c>
      <c r="C59" s="24">
        <v>31.0</v>
      </c>
      <c r="D59" s="86">
        <v>0.33125</v>
      </c>
      <c r="E59" s="59">
        <v>0.1449493112</v>
      </c>
      <c r="F59" s="60">
        <f t="shared" si="31"/>
        <v>9281.0851</v>
      </c>
      <c r="G59" s="25">
        <v>6634.0</v>
      </c>
      <c r="H59" s="25">
        <f t="shared" si="32"/>
        <v>-2647.0851</v>
      </c>
      <c r="I59" s="25">
        <f t="shared" si="33"/>
        <v>2272.980075</v>
      </c>
      <c r="J59" s="64">
        <f>C59*'Rate Codes'!$D$7</f>
        <v>53.490035</v>
      </c>
      <c r="K59" s="25">
        <f>I59*'Rate Codes'!$D$8</f>
        <v>29.44191091</v>
      </c>
      <c r="L59" s="25">
        <f t="shared" si="34"/>
        <v>82.93194591</v>
      </c>
      <c r="M59" s="66">
        <f>I59*'Rate Codes'!$D$8</f>
        <v>29.44191091</v>
      </c>
      <c r="N59" s="67">
        <f>(H59)*'Billing Rate'!$B$1</f>
        <v>-180.0017868</v>
      </c>
      <c r="O59" s="25">
        <f t="shared" si="35"/>
        <v>112.3738568</v>
      </c>
      <c r="P59" s="25">
        <f t="shared" si="36"/>
        <v>-67.62792996</v>
      </c>
      <c r="Q59" s="25">
        <f t="shared" si="37"/>
        <v>5.618692841</v>
      </c>
      <c r="R59" s="25">
        <f t="shared" si="38"/>
        <v>-62.00923712</v>
      </c>
    </row>
    <row r="60">
      <c r="B60" s="46" t="s">
        <v>123</v>
      </c>
      <c r="C60" s="24">
        <v>31.0</v>
      </c>
      <c r="D60" s="86">
        <v>0.3951375</v>
      </c>
      <c r="E60" s="59">
        <v>0.1246952409</v>
      </c>
      <c r="F60" s="60">
        <f t="shared" si="31"/>
        <v>7984.219675</v>
      </c>
      <c r="G60" s="25">
        <v>5909.0</v>
      </c>
      <c r="H60" s="25">
        <f t="shared" si="32"/>
        <v>-2075.219675</v>
      </c>
      <c r="I60" s="25">
        <f t="shared" si="33"/>
        <v>2415.052145</v>
      </c>
      <c r="J60" s="64">
        <f>C60*'Rate Codes'!$D$7</f>
        <v>53.490035</v>
      </c>
      <c r="K60" s="25">
        <f>I60*'Rate Codes'!$D$8</f>
        <v>31.28217044</v>
      </c>
      <c r="L60" s="25">
        <f t="shared" si="34"/>
        <v>84.77220544</v>
      </c>
      <c r="M60" s="66">
        <f>I60*'Rate Codes'!$D$8</f>
        <v>31.28217044</v>
      </c>
      <c r="N60" s="67">
        <f>(H60)*'Billing Rate'!$B$1</f>
        <v>-141.1149379</v>
      </c>
      <c r="O60" s="25">
        <f t="shared" si="35"/>
        <v>116.0543759</v>
      </c>
      <c r="P60" s="25">
        <f t="shared" si="36"/>
        <v>-25.06056201</v>
      </c>
      <c r="Q60" s="25">
        <f t="shared" si="37"/>
        <v>5.802718794</v>
      </c>
      <c r="R60" s="25">
        <f t="shared" si="38"/>
        <v>-19.25784322</v>
      </c>
    </row>
    <row r="61">
      <c r="B61" s="46" t="s">
        <v>124</v>
      </c>
      <c r="C61" s="24">
        <v>30.0</v>
      </c>
      <c r="D61" s="86">
        <v>0.4756958333333334</v>
      </c>
      <c r="E61" s="59">
        <v>0.09825803101</v>
      </c>
      <c r="F61" s="60">
        <f t="shared" si="31"/>
        <v>6291.448645</v>
      </c>
      <c r="G61" s="25">
        <v>5270.0</v>
      </c>
      <c r="H61" s="25">
        <f t="shared" si="32"/>
        <v>-1021.448645</v>
      </c>
      <c r="I61" s="25">
        <f t="shared" si="33"/>
        <v>2593.010272</v>
      </c>
      <c r="J61" s="64">
        <f>C61*'Rate Codes'!$D$7</f>
        <v>51.76455</v>
      </c>
      <c r="K61" s="25">
        <f>I61*'Rate Codes'!$D$8</f>
        <v>33.58726206</v>
      </c>
      <c r="L61" s="25">
        <f t="shared" si="34"/>
        <v>85.35181206</v>
      </c>
      <c r="M61" s="66">
        <f>I61*'Rate Codes'!$D$8</f>
        <v>33.58726206</v>
      </c>
      <c r="N61" s="67">
        <f>(H61)*'Billing Rate'!$B$1</f>
        <v>-69.45850786</v>
      </c>
      <c r="O61" s="25">
        <f t="shared" si="35"/>
        <v>118.9390741</v>
      </c>
      <c r="P61" s="25">
        <f t="shared" si="36"/>
        <v>49.48056625</v>
      </c>
      <c r="Q61" s="25">
        <f t="shared" si="37"/>
        <v>5.946953706</v>
      </c>
      <c r="R61" s="25">
        <f t="shared" si="38"/>
        <v>55.42751996</v>
      </c>
    </row>
    <row r="62">
      <c r="B62" s="46" t="s">
        <v>125</v>
      </c>
      <c r="C62" s="24">
        <v>31.0</v>
      </c>
      <c r="D62" s="86">
        <v>0.5590291666666667</v>
      </c>
      <c r="E62" s="59">
        <v>0.06840443866</v>
      </c>
      <c r="F62" s="60">
        <f t="shared" si="31"/>
        <v>4379.927101</v>
      </c>
      <c r="G62" s="25">
        <v>5946.0</v>
      </c>
      <c r="H62" s="25">
        <f t="shared" si="32"/>
        <v>1566.072899</v>
      </c>
      <c r="I62" s="25">
        <f t="shared" si="33"/>
        <v>3438.14071</v>
      </c>
      <c r="J62" s="64">
        <f>C62*'Rate Codes'!$D$7</f>
        <v>53.490035</v>
      </c>
      <c r="K62" s="25">
        <f>I62*'Rate Codes'!$D$8</f>
        <v>44.53423662</v>
      </c>
      <c r="L62" s="25">
        <f t="shared" si="34"/>
        <v>98.02427162</v>
      </c>
      <c r="M62" s="66">
        <f>I62*'Rate Codes'!$D$8</f>
        <v>44.53423662</v>
      </c>
      <c r="N62" s="67">
        <f>(H62)*'Billing Rate'!$B$1</f>
        <v>106.4929571</v>
      </c>
      <c r="O62" s="25">
        <f t="shared" si="35"/>
        <v>142.5585082</v>
      </c>
      <c r="P62" s="25">
        <f t="shared" si="36"/>
        <v>249.0514654</v>
      </c>
      <c r="Q62" s="25">
        <f t="shared" si="37"/>
        <v>12.45257327</v>
      </c>
      <c r="R62" s="25">
        <f t="shared" si="38"/>
        <v>261.5040386</v>
      </c>
    </row>
    <row r="63">
      <c r="B63" s="46" t="s">
        <v>126</v>
      </c>
      <c r="C63" s="24">
        <v>30.0</v>
      </c>
      <c r="D63" s="86">
        <v>0.63125</v>
      </c>
      <c r="E63" s="59">
        <v>0.0271408052</v>
      </c>
      <c r="F63" s="60">
        <f t="shared" si="31"/>
        <v>1737.822144</v>
      </c>
      <c r="G63" s="25">
        <v>5587.0</v>
      </c>
      <c r="H63" s="25">
        <f t="shared" si="32"/>
        <v>3849.177856</v>
      </c>
      <c r="I63" s="25">
        <f t="shared" si="33"/>
        <v>3647.911865</v>
      </c>
      <c r="J63" s="64">
        <f>C63*'Rate Codes'!$D$7</f>
        <v>51.76455</v>
      </c>
      <c r="K63" s="25">
        <f>I63*'Rate Codes'!$D$8</f>
        <v>47.25140239</v>
      </c>
      <c r="L63" s="25">
        <f t="shared" si="34"/>
        <v>99.01595239</v>
      </c>
      <c r="M63" s="66">
        <f>I63*'Rate Codes'!$D$8</f>
        <v>47.25140239</v>
      </c>
      <c r="N63" s="67">
        <f>(H63)*'Billing Rate'!$B$1</f>
        <v>261.7440942</v>
      </c>
      <c r="O63" s="25">
        <f t="shared" si="35"/>
        <v>146.2673548</v>
      </c>
      <c r="P63" s="25">
        <f t="shared" si="36"/>
        <v>408.011449</v>
      </c>
      <c r="Q63" s="25">
        <f t="shared" si="37"/>
        <v>20.40057245</v>
      </c>
      <c r="R63" s="25">
        <f t="shared" si="38"/>
        <v>428.4120215</v>
      </c>
    </row>
    <row r="64">
      <c r="B64" s="46" t="s">
        <v>127</v>
      </c>
      <c r="C64" s="24">
        <v>31.0</v>
      </c>
      <c r="D64" s="86">
        <v>0.6680541666666667</v>
      </c>
      <c r="E64" s="59">
        <v>0.01559005293</v>
      </c>
      <c r="F64" s="60">
        <f t="shared" si="31"/>
        <v>998.2290137</v>
      </c>
      <c r="G64" s="25">
        <v>5490.0</v>
      </c>
      <c r="H64" s="25">
        <f t="shared" si="32"/>
        <v>4491.770986</v>
      </c>
      <c r="I64" s="25">
        <f t="shared" si="33"/>
        <v>3793.571694</v>
      </c>
      <c r="J64" s="64">
        <f>C64*'Rate Codes'!$D$7</f>
        <v>53.490035</v>
      </c>
      <c r="K64" s="25">
        <f>I64*'Rate Codes'!$D$8</f>
        <v>49.13813415</v>
      </c>
      <c r="L64" s="25">
        <f t="shared" si="34"/>
        <v>102.6281691</v>
      </c>
      <c r="M64" s="66">
        <f>I64*'Rate Codes'!$D$8</f>
        <v>49.13813415</v>
      </c>
      <c r="N64" s="67">
        <f>(H64)*'Billing Rate'!$B$1</f>
        <v>305.4404271</v>
      </c>
      <c r="O64" s="25">
        <f t="shared" si="35"/>
        <v>151.7663033</v>
      </c>
      <c r="P64" s="25">
        <f t="shared" si="36"/>
        <v>457.2067304</v>
      </c>
      <c r="Q64" s="25">
        <f t="shared" si="37"/>
        <v>22.86033652</v>
      </c>
      <c r="R64" s="25">
        <f t="shared" si="38"/>
        <v>480.0670669</v>
      </c>
    </row>
    <row r="65">
      <c r="B65" s="44" t="s">
        <v>109</v>
      </c>
      <c r="C65" s="44"/>
      <c r="D65" s="44"/>
      <c r="E65" s="68">
        <f t="shared" ref="E65:N65" si="39">SUM(E53:E64)</f>
        <v>1</v>
      </c>
      <c r="F65" s="69">
        <f t="shared" si="39"/>
        <v>64029.86688</v>
      </c>
      <c r="G65" s="48">
        <f t="shared" si="39"/>
        <v>66307</v>
      </c>
      <c r="H65" s="48">
        <f t="shared" si="39"/>
        <v>2277.133124</v>
      </c>
      <c r="I65" s="48">
        <f t="shared" si="39"/>
        <v>33643.36248</v>
      </c>
      <c r="J65" s="48">
        <f t="shared" si="39"/>
        <v>629.802025</v>
      </c>
      <c r="K65" s="48">
        <f t="shared" si="39"/>
        <v>435.7824742</v>
      </c>
      <c r="L65" s="48">
        <f t="shared" si="39"/>
        <v>1065.584499</v>
      </c>
      <c r="M65" s="48">
        <f t="shared" si="39"/>
        <v>435.7824742</v>
      </c>
      <c r="N65" s="48">
        <f t="shared" si="39"/>
        <v>154.8450525</v>
      </c>
      <c r="O65" s="48">
        <f t="shared" si="35"/>
        <v>1501.366973</v>
      </c>
      <c r="P65" s="48">
        <f t="shared" ref="P65:R65" si="40">SUM(P53:P64)</f>
        <v>1656.212026</v>
      </c>
      <c r="Q65" s="48">
        <f t="shared" si="40"/>
        <v>130.1637425</v>
      </c>
      <c r="R65" s="48">
        <f t="shared" si="40"/>
        <v>1786.375768</v>
      </c>
    </row>
    <row r="67">
      <c r="A67" s="76">
        <v>4.0</v>
      </c>
      <c r="B67" s="12" t="s">
        <v>128</v>
      </c>
      <c r="C67" s="12"/>
      <c r="D67" s="15"/>
      <c r="E67" s="15">
        <f>$E$1* POW((1 -$H$1),A67)</f>
        <v>63709.71754</v>
      </c>
      <c r="F67" s="1" t="s">
        <v>132</v>
      </c>
      <c r="G67" s="8">
        <f>E67/G81</f>
        <v>0.9608294379</v>
      </c>
      <c r="H67" s="1" t="s">
        <v>133</v>
      </c>
      <c r="I67" s="6">
        <f>1-G67</f>
        <v>0.03917056207</v>
      </c>
      <c r="J67" s="12" t="s">
        <v>74</v>
      </c>
      <c r="M67" s="12" t="s">
        <v>78</v>
      </c>
      <c r="N67" s="12"/>
      <c r="O67" s="12"/>
      <c r="P67" s="12"/>
      <c r="Q67" s="12"/>
      <c r="R67" s="12"/>
    </row>
    <row r="68">
      <c r="A68" s="12"/>
      <c r="B68" s="77" t="s">
        <v>83</v>
      </c>
      <c r="C68" s="78" t="s">
        <v>88</v>
      </c>
      <c r="D68" s="44" t="s">
        <v>87</v>
      </c>
      <c r="E68" s="77" t="s">
        <v>140</v>
      </c>
      <c r="F68" s="77" t="s">
        <v>135</v>
      </c>
      <c r="G68" s="78" t="s">
        <v>89</v>
      </c>
      <c r="H68" s="78" t="s">
        <v>138</v>
      </c>
      <c r="I68" s="20" t="s">
        <v>139</v>
      </c>
      <c r="J68" s="78" t="s">
        <v>76</v>
      </c>
      <c r="K68" s="78" t="s">
        <v>82</v>
      </c>
      <c r="L68" s="78" t="s">
        <v>109</v>
      </c>
      <c r="M68" s="78" t="s">
        <v>80</v>
      </c>
      <c r="N68" s="78" t="s">
        <v>67</v>
      </c>
      <c r="O68" s="45" t="s">
        <v>114</v>
      </c>
      <c r="P68" s="79" t="s">
        <v>115</v>
      </c>
      <c r="Q68" s="79" t="s">
        <v>60</v>
      </c>
      <c r="R68" s="79" t="s">
        <v>109</v>
      </c>
    </row>
    <row r="69">
      <c r="A69" s="12"/>
      <c r="B69" s="80" t="s">
        <v>117</v>
      </c>
      <c r="C69" s="87">
        <v>31.0</v>
      </c>
      <c r="D69" s="86">
        <v>0.6479166666666667</v>
      </c>
      <c r="E69" s="88">
        <v>0.02731296772</v>
      </c>
      <c r="F69" s="89">
        <f t="shared" ref="F69:F80" si="41">$E$67*E69</f>
        <v>1740.101459</v>
      </c>
      <c r="G69" s="81">
        <v>5726.0</v>
      </c>
      <c r="H69" s="81">
        <f t="shared" ref="H69:H80" si="42">G69-F69</f>
        <v>3985.898541</v>
      </c>
      <c r="I69" s="25">
        <f t="shared" ref="I69:I80" si="43">D69*G69*(1+$I$67)</f>
        <v>3855.292476</v>
      </c>
      <c r="J69" s="64">
        <f>C69*'Rate Codes'!$D$7</f>
        <v>53.490035</v>
      </c>
      <c r="K69" s="25">
        <f>I69*'Rate Codes'!$D$8</f>
        <v>49.93760344</v>
      </c>
      <c r="L69" s="81">
        <f t="shared" ref="L69:L80" si="44">SUM(J69:K69)</f>
        <v>103.4276384</v>
      </c>
      <c r="M69" s="66">
        <f>I69*'Rate Codes'!$D$8</f>
        <v>49.93760344</v>
      </c>
      <c r="N69" s="67">
        <f>(H69)*'Billing Rate'!$B$1</f>
        <v>271.0411008</v>
      </c>
      <c r="O69" s="25">
        <f t="shared" ref="O69:O81" si="45">L69+M69</f>
        <v>153.3652419</v>
      </c>
      <c r="P69" s="81">
        <f t="shared" ref="P69:P80" si="46">N69+L69+M69</f>
        <v>424.4063427</v>
      </c>
      <c r="Q69" s="25">
        <f t="shared" ref="Q69:Q80" si="47">(IF(N69&gt;0,N69,0)+O69)*0.05</f>
        <v>21.22031713</v>
      </c>
      <c r="R69" s="81">
        <f t="shared" ref="R69:R80" si="48">P69+Q69</f>
        <v>445.6266598</v>
      </c>
    </row>
    <row r="70">
      <c r="A70" s="12"/>
      <c r="B70" s="80" t="s">
        <v>118</v>
      </c>
      <c r="C70" s="87">
        <v>28.0</v>
      </c>
      <c r="D70" s="86">
        <v>0.5868041666666667</v>
      </c>
      <c r="E70" s="88">
        <v>0.04620731865</v>
      </c>
      <c r="F70" s="89">
        <f t="shared" si="41"/>
        <v>2943.85522</v>
      </c>
      <c r="G70" s="81">
        <v>5279.0</v>
      </c>
      <c r="H70" s="81">
        <f t="shared" si="42"/>
        <v>2335.14478</v>
      </c>
      <c r="I70" s="25">
        <f t="shared" si="43"/>
        <v>3219.079381</v>
      </c>
      <c r="J70" s="64">
        <f>C70*'Rate Codes'!$D$7</f>
        <v>48.31358</v>
      </c>
      <c r="K70" s="25">
        <f>I70*'Rate Codes'!$D$8</f>
        <v>41.69673523</v>
      </c>
      <c r="L70" s="81">
        <f t="shared" si="44"/>
        <v>90.01031523</v>
      </c>
      <c r="M70" s="66">
        <f>I70*'Rate Codes'!$D$8</f>
        <v>41.69673523</v>
      </c>
      <c r="N70" s="67">
        <f>(H70)*'Billing Rate'!$B$1</f>
        <v>158.7898451</v>
      </c>
      <c r="O70" s="25">
        <f t="shared" si="45"/>
        <v>131.7070505</v>
      </c>
      <c r="P70" s="81">
        <f t="shared" si="46"/>
        <v>290.4968955</v>
      </c>
      <c r="Q70" s="25">
        <f t="shared" si="47"/>
        <v>14.52484478</v>
      </c>
      <c r="R70" s="81">
        <f t="shared" si="48"/>
        <v>305.0217403</v>
      </c>
    </row>
    <row r="71">
      <c r="A71" s="12"/>
      <c r="B71" s="80" t="s">
        <v>119</v>
      </c>
      <c r="C71" s="87">
        <v>31.0</v>
      </c>
      <c r="D71" s="86">
        <v>0.5083333333333333</v>
      </c>
      <c r="E71" s="88">
        <v>0.08500831624</v>
      </c>
      <c r="F71" s="89">
        <f t="shared" si="41"/>
        <v>5415.855816</v>
      </c>
      <c r="G71" s="81">
        <v>4991.0</v>
      </c>
      <c r="H71" s="81">
        <f t="shared" si="42"/>
        <v>-424.8558163</v>
      </c>
      <c r="I71" s="25">
        <f t="shared" si="43"/>
        <v>2636.470973</v>
      </c>
      <c r="J71" s="64">
        <f>C71*'Rate Codes'!$D$7</f>
        <v>53.490035</v>
      </c>
      <c r="K71" s="25">
        <f>I71*'Rate Codes'!$D$8</f>
        <v>34.15020852</v>
      </c>
      <c r="L71" s="81">
        <f t="shared" si="44"/>
        <v>87.64024352</v>
      </c>
      <c r="M71" s="66">
        <f>I71*'Rate Codes'!$D$8</f>
        <v>34.15020852</v>
      </c>
      <c r="N71" s="67">
        <f>(H71)*'Billing Rate'!$B$1</f>
        <v>-28.89019551</v>
      </c>
      <c r="O71" s="25">
        <f t="shared" si="45"/>
        <v>121.790452</v>
      </c>
      <c r="P71" s="81">
        <f t="shared" si="46"/>
        <v>92.90025653</v>
      </c>
      <c r="Q71" s="25">
        <f t="shared" si="47"/>
        <v>6.089522602</v>
      </c>
      <c r="R71" s="81">
        <f t="shared" si="48"/>
        <v>98.98977913</v>
      </c>
    </row>
    <row r="72">
      <c r="A72" s="12"/>
      <c r="B72" s="80" t="s">
        <v>120</v>
      </c>
      <c r="C72" s="87">
        <v>30.0</v>
      </c>
      <c r="D72" s="86">
        <v>0.425</v>
      </c>
      <c r="E72" s="88">
        <v>0.108773175</v>
      </c>
      <c r="F72" s="89">
        <f t="shared" si="41"/>
        <v>6929.908255</v>
      </c>
      <c r="G72" s="81">
        <v>4952.0</v>
      </c>
      <c r="H72" s="81">
        <f t="shared" si="42"/>
        <v>-1977.908255</v>
      </c>
      <c r="I72" s="25">
        <f t="shared" si="43"/>
        <v>2187.038365</v>
      </c>
      <c r="J72" s="64">
        <f>C72*'Rate Codes'!$D$7</f>
        <v>51.76455</v>
      </c>
      <c r="K72" s="25">
        <f>I72*'Rate Codes'!$D$8</f>
        <v>28.32870794</v>
      </c>
      <c r="L72" s="81">
        <f t="shared" si="44"/>
        <v>80.09325794</v>
      </c>
      <c r="M72" s="66">
        <f>I72*'Rate Codes'!$D$8</f>
        <v>28.32870794</v>
      </c>
      <c r="N72" s="67">
        <f>(H72)*'Billing Rate'!$B$1</f>
        <v>-134.4977614</v>
      </c>
      <c r="O72" s="25">
        <f t="shared" si="45"/>
        <v>108.4219659</v>
      </c>
      <c r="P72" s="81">
        <f t="shared" si="46"/>
        <v>-26.07579547</v>
      </c>
      <c r="Q72" s="25">
        <f t="shared" si="47"/>
        <v>5.421098294</v>
      </c>
      <c r="R72" s="81">
        <f t="shared" si="48"/>
        <v>-20.65469718</v>
      </c>
    </row>
    <row r="73">
      <c r="A73" s="12"/>
      <c r="B73" s="80" t="s">
        <v>98</v>
      </c>
      <c r="C73" s="87">
        <v>31.0</v>
      </c>
      <c r="D73" s="86">
        <v>0.35277916666666664</v>
      </c>
      <c r="E73" s="88">
        <v>0.1281742617</v>
      </c>
      <c r="F73" s="89">
        <f t="shared" si="41"/>
        <v>8165.946009</v>
      </c>
      <c r="G73" s="81">
        <v>5559.0</v>
      </c>
      <c r="H73" s="81">
        <f t="shared" si="42"/>
        <v>-2606.946009</v>
      </c>
      <c r="I73" s="25">
        <f t="shared" si="43"/>
        <v>2037.916753</v>
      </c>
      <c r="J73" s="64">
        <f>C73*'Rate Codes'!$D$7</f>
        <v>53.490035</v>
      </c>
      <c r="K73" s="25">
        <f>I73*'Rate Codes'!$D$8</f>
        <v>26.3971357</v>
      </c>
      <c r="L73" s="81">
        <f t="shared" si="44"/>
        <v>79.8871707</v>
      </c>
      <c r="M73" s="66">
        <f>I73*'Rate Codes'!$D$8</f>
        <v>26.3971357</v>
      </c>
      <c r="N73" s="67">
        <f>(H73)*'Billing Rate'!$B$1</f>
        <v>-177.2723286</v>
      </c>
      <c r="O73" s="25">
        <f t="shared" si="45"/>
        <v>106.2843064</v>
      </c>
      <c r="P73" s="81">
        <f t="shared" si="46"/>
        <v>-70.98802221</v>
      </c>
      <c r="Q73" s="25">
        <f t="shared" si="47"/>
        <v>5.31421532</v>
      </c>
      <c r="R73" s="81">
        <f t="shared" si="48"/>
        <v>-65.67380689</v>
      </c>
    </row>
    <row r="74">
      <c r="A74" s="12"/>
      <c r="B74" s="80" t="s">
        <v>121</v>
      </c>
      <c r="C74" s="87">
        <v>30.0</v>
      </c>
      <c r="D74" s="86">
        <v>0.31388750000000004</v>
      </c>
      <c r="E74" s="88">
        <v>0.1254860808</v>
      </c>
      <c r="F74" s="89">
        <f t="shared" si="41"/>
        <v>7994.682763</v>
      </c>
      <c r="G74" s="81">
        <v>4964.0</v>
      </c>
      <c r="H74" s="81">
        <f t="shared" si="42"/>
        <v>-3030.682763</v>
      </c>
      <c r="I74" s="25">
        <f t="shared" si="43"/>
        <v>1619.170674</v>
      </c>
      <c r="J74" s="64">
        <f>C74*'Rate Codes'!$D$7</f>
        <v>51.76455</v>
      </c>
      <c r="K74" s="25">
        <f>I74*'Rate Codes'!$D$8</f>
        <v>20.97311774</v>
      </c>
      <c r="L74" s="81">
        <f t="shared" si="44"/>
        <v>72.73766774</v>
      </c>
      <c r="M74" s="66">
        <f>I74*'Rate Codes'!$D$8</f>
        <v>20.97311774</v>
      </c>
      <c r="N74" s="67">
        <f>(H74)*'Billing Rate'!$B$1</f>
        <v>-206.0864279</v>
      </c>
      <c r="O74" s="25">
        <f t="shared" si="45"/>
        <v>93.71078547</v>
      </c>
      <c r="P74" s="81">
        <f t="shared" si="46"/>
        <v>-112.3756424</v>
      </c>
      <c r="Q74" s="25">
        <f t="shared" si="47"/>
        <v>4.685539274</v>
      </c>
      <c r="R74" s="81">
        <f t="shared" si="48"/>
        <v>-107.6901031</v>
      </c>
    </row>
    <row r="75">
      <c r="A75" s="12"/>
      <c r="B75" s="80" t="s">
        <v>122</v>
      </c>
      <c r="C75" s="87">
        <v>31.0</v>
      </c>
      <c r="D75" s="86">
        <v>0.33125</v>
      </c>
      <c r="E75" s="88">
        <v>0.1449493112</v>
      </c>
      <c r="F75" s="89">
        <f t="shared" si="41"/>
        <v>9234.679674</v>
      </c>
      <c r="G75" s="81">
        <v>6634.0</v>
      </c>
      <c r="H75" s="81">
        <f t="shared" si="42"/>
        <v>-2600.679674</v>
      </c>
      <c r="I75" s="25">
        <f t="shared" si="43"/>
        <v>2283.5903</v>
      </c>
      <c r="J75" s="64">
        <f>C75*'Rate Codes'!$D$7</f>
        <v>53.490035</v>
      </c>
      <c r="K75" s="25">
        <f>I75*'Rate Codes'!$D$8</f>
        <v>29.57934515</v>
      </c>
      <c r="L75" s="81">
        <f t="shared" si="44"/>
        <v>83.06938015</v>
      </c>
      <c r="M75" s="66">
        <f>I75*'Rate Codes'!$D$8</f>
        <v>29.57934515</v>
      </c>
      <c r="N75" s="67">
        <f>(H75)*'Billing Rate'!$B$1</f>
        <v>-176.8462178</v>
      </c>
      <c r="O75" s="25">
        <f t="shared" si="45"/>
        <v>112.6487253</v>
      </c>
      <c r="P75" s="81">
        <f t="shared" si="46"/>
        <v>-64.19749254</v>
      </c>
      <c r="Q75" s="25">
        <f t="shared" si="47"/>
        <v>5.632436265</v>
      </c>
      <c r="R75" s="81">
        <f t="shared" si="48"/>
        <v>-58.56505628</v>
      </c>
    </row>
    <row r="76">
      <c r="A76" s="12"/>
      <c r="B76" s="80" t="s">
        <v>123</v>
      </c>
      <c r="C76" s="87">
        <v>31.0</v>
      </c>
      <c r="D76" s="86">
        <v>0.3951375</v>
      </c>
      <c r="E76" s="88">
        <v>0.1246952409</v>
      </c>
      <c r="F76" s="89">
        <f t="shared" si="41"/>
        <v>7944.298576</v>
      </c>
      <c r="G76" s="81">
        <v>5909.0</v>
      </c>
      <c r="H76" s="81">
        <f t="shared" si="42"/>
        <v>-2035.298576</v>
      </c>
      <c r="I76" s="25">
        <f t="shared" si="43"/>
        <v>2426.325559</v>
      </c>
      <c r="J76" s="64">
        <f>C76*'Rate Codes'!$D$7</f>
        <v>53.490035</v>
      </c>
      <c r="K76" s="25">
        <f>I76*'Rate Codes'!$D$8</f>
        <v>31.42819497</v>
      </c>
      <c r="L76" s="81">
        <f t="shared" si="44"/>
        <v>84.91822997</v>
      </c>
      <c r="M76" s="66">
        <f>I76*'Rate Codes'!$D$8</f>
        <v>31.42819497</v>
      </c>
      <c r="N76" s="67">
        <f>(H76)*'Billing Rate'!$B$1</f>
        <v>-138.4003032</v>
      </c>
      <c r="O76" s="25">
        <f t="shared" si="45"/>
        <v>116.3464249</v>
      </c>
      <c r="P76" s="81">
        <f t="shared" si="46"/>
        <v>-22.05387825</v>
      </c>
      <c r="Q76" s="25">
        <f t="shared" si="47"/>
        <v>5.817321247</v>
      </c>
      <c r="R76" s="81">
        <f t="shared" si="48"/>
        <v>-16.23655701</v>
      </c>
    </row>
    <row r="77">
      <c r="A77" s="12"/>
      <c r="B77" s="80" t="s">
        <v>124</v>
      </c>
      <c r="C77" s="87">
        <v>30.0</v>
      </c>
      <c r="D77" s="86">
        <v>0.4756958333333334</v>
      </c>
      <c r="E77" s="88">
        <v>0.09825803101</v>
      </c>
      <c r="F77" s="89">
        <f t="shared" si="41"/>
        <v>6259.991402</v>
      </c>
      <c r="G77" s="81">
        <v>5270.0</v>
      </c>
      <c r="H77" s="81">
        <f t="shared" si="42"/>
        <v>-989.9914017</v>
      </c>
      <c r="I77" s="25">
        <f t="shared" si="43"/>
        <v>2605.114391</v>
      </c>
      <c r="J77" s="64">
        <f>C77*'Rate Codes'!$D$7</f>
        <v>51.76455</v>
      </c>
      <c r="K77" s="25">
        <f>I77*'Rate Codes'!$D$8</f>
        <v>33.74404671</v>
      </c>
      <c r="L77" s="81">
        <f t="shared" si="44"/>
        <v>85.50859671</v>
      </c>
      <c r="M77" s="66">
        <f>I77*'Rate Codes'!$D$8</f>
        <v>33.74404671</v>
      </c>
      <c r="N77" s="67">
        <f>(H77)*'Billing Rate'!$B$1</f>
        <v>-67.31941532</v>
      </c>
      <c r="O77" s="25">
        <f t="shared" si="45"/>
        <v>119.2526434</v>
      </c>
      <c r="P77" s="81">
        <f t="shared" si="46"/>
        <v>51.9332281</v>
      </c>
      <c r="Q77" s="25">
        <f t="shared" si="47"/>
        <v>5.962632171</v>
      </c>
      <c r="R77" s="81">
        <f t="shared" si="48"/>
        <v>57.89586027</v>
      </c>
    </row>
    <row r="78">
      <c r="A78" s="12"/>
      <c r="B78" s="80" t="s">
        <v>125</v>
      </c>
      <c r="C78" s="87">
        <v>31.0</v>
      </c>
      <c r="D78" s="86">
        <v>0.5590291666666667</v>
      </c>
      <c r="E78" s="88">
        <v>0.06840443866</v>
      </c>
      <c r="F78" s="89">
        <f t="shared" si="41"/>
        <v>4358.027466</v>
      </c>
      <c r="G78" s="81">
        <v>5946.0</v>
      </c>
      <c r="H78" s="81">
        <f t="shared" si="42"/>
        <v>1587.972534</v>
      </c>
      <c r="I78" s="25">
        <f t="shared" si="43"/>
        <v>3454.189881</v>
      </c>
      <c r="J78" s="64">
        <f>C78*'Rate Codes'!$D$7</f>
        <v>53.490035</v>
      </c>
      <c r="K78" s="25">
        <f>I78*'Rate Codes'!$D$8</f>
        <v>44.74212153</v>
      </c>
      <c r="L78" s="81">
        <f t="shared" si="44"/>
        <v>98.23215653</v>
      </c>
      <c r="M78" s="66">
        <f>I78*'Rate Codes'!$D$8</f>
        <v>44.74212153</v>
      </c>
      <c r="N78" s="67">
        <f>(H78)*'Billing Rate'!$B$1</f>
        <v>107.9821323</v>
      </c>
      <c r="O78" s="25">
        <f t="shared" si="45"/>
        <v>142.9742781</v>
      </c>
      <c r="P78" s="81">
        <f t="shared" si="46"/>
        <v>250.9564104</v>
      </c>
      <c r="Q78" s="25">
        <f t="shared" si="47"/>
        <v>12.54782052</v>
      </c>
      <c r="R78" s="81">
        <f t="shared" si="48"/>
        <v>263.5042309</v>
      </c>
    </row>
    <row r="79">
      <c r="A79" s="12"/>
      <c r="B79" s="80" t="s">
        <v>126</v>
      </c>
      <c r="C79" s="87">
        <v>30.0</v>
      </c>
      <c r="D79" s="86">
        <v>0.63125</v>
      </c>
      <c r="E79" s="88">
        <v>0.0271408052</v>
      </c>
      <c r="F79" s="89">
        <f t="shared" si="41"/>
        <v>1729.133033</v>
      </c>
      <c r="G79" s="81">
        <v>5587.0</v>
      </c>
      <c r="H79" s="81">
        <f t="shared" si="42"/>
        <v>3857.866967</v>
      </c>
      <c r="I79" s="25">
        <f t="shared" si="43"/>
        <v>3664.940244</v>
      </c>
      <c r="J79" s="64">
        <f>C79*'Rate Codes'!$D$7</f>
        <v>51.76455</v>
      </c>
      <c r="K79" s="25">
        <f>I79*'Rate Codes'!$D$8</f>
        <v>47.47197097</v>
      </c>
      <c r="L79" s="81">
        <f t="shared" si="44"/>
        <v>99.23652097</v>
      </c>
      <c r="M79" s="66">
        <f>I79*'Rate Codes'!$D$8</f>
        <v>47.47197097</v>
      </c>
      <c r="N79" s="67">
        <f>(H79)*'Billing Rate'!$B$1</f>
        <v>262.3349537</v>
      </c>
      <c r="O79" s="25">
        <f t="shared" si="45"/>
        <v>146.7084919</v>
      </c>
      <c r="P79" s="81">
        <f t="shared" si="46"/>
        <v>409.0434457</v>
      </c>
      <c r="Q79" s="25">
        <f t="shared" si="47"/>
        <v>20.45217228</v>
      </c>
      <c r="R79" s="81">
        <f t="shared" si="48"/>
        <v>429.495618</v>
      </c>
    </row>
    <row r="80">
      <c r="A80" s="12"/>
      <c r="B80" s="80" t="s">
        <v>127</v>
      </c>
      <c r="C80" s="87">
        <v>31.0</v>
      </c>
      <c r="D80" s="86">
        <v>0.6680541666666667</v>
      </c>
      <c r="E80" s="88">
        <v>0.01559005293</v>
      </c>
      <c r="F80" s="89">
        <f t="shared" si="41"/>
        <v>993.2378686</v>
      </c>
      <c r="G80" s="81">
        <v>5490.0</v>
      </c>
      <c r="H80" s="81">
        <f t="shared" si="42"/>
        <v>4496.762131</v>
      </c>
      <c r="I80" s="25">
        <f t="shared" si="43"/>
        <v>3811.280009</v>
      </c>
      <c r="J80" s="64">
        <f>C80*'Rate Codes'!$D$7</f>
        <v>53.490035</v>
      </c>
      <c r="K80" s="25">
        <f>I80*'Rate Codes'!$D$8</f>
        <v>49.36750996</v>
      </c>
      <c r="L80" s="81">
        <f t="shared" si="44"/>
        <v>102.857545</v>
      </c>
      <c r="M80" s="66">
        <f>I80*'Rate Codes'!$D$8</f>
        <v>49.36750996</v>
      </c>
      <c r="N80" s="67">
        <f>(H80)*'Billing Rate'!$B$1</f>
        <v>305.7798249</v>
      </c>
      <c r="O80" s="25">
        <f t="shared" si="45"/>
        <v>152.2250549</v>
      </c>
      <c r="P80" s="81">
        <f t="shared" si="46"/>
        <v>458.0048798</v>
      </c>
      <c r="Q80" s="25">
        <f t="shared" si="47"/>
        <v>22.90024399</v>
      </c>
      <c r="R80" s="81">
        <f t="shared" si="48"/>
        <v>480.9051238</v>
      </c>
    </row>
    <row r="81">
      <c r="A81" s="12"/>
      <c r="B81" s="77" t="s">
        <v>109</v>
      </c>
      <c r="C81" s="82"/>
      <c r="D81" s="83"/>
      <c r="E81" s="83">
        <f t="shared" ref="E81:N81" si="49">SUM(E69:E80)</f>
        <v>1</v>
      </c>
      <c r="F81" s="84">
        <f t="shared" si="49"/>
        <v>63709.71754</v>
      </c>
      <c r="G81" s="85">
        <f t="shared" si="49"/>
        <v>66307</v>
      </c>
      <c r="H81" s="85">
        <f t="shared" si="49"/>
        <v>2597.282459</v>
      </c>
      <c r="I81" s="48">
        <f t="shared" si="49"/>
        <v>33800.40901</v>
      </c>
      <c r="J81" s="85">
        <f t="shared" si="49"/>
        <v>629.802025</v>
      </c>
      <c r="K81" s="85">
        <f t="shared" si="49"/>
        <v>437.8166979</v>
      </c>
      <c r="L81" s="85">
        <f t="shared" si="49"/>
        <v>1067.618723</v>
      </c>
      <c r="M81" s="85">
        <f t="shared" si="49"/>
        <v>437.8166979</v>
      </c>
      <c r="N81" s="85">
        <f t="shared" si="49"/>
        <v>176.6152072</v>
      </c>
      <c r="O81" s="48">
        <f t="shared" si="45"/>
        <v>1505.435421</v>
      </c>
      <c r="P81" s="85">
        <f t="shared" ref="P81:R81" si="50">SUM(P69:P80)</f>
        <v>1682.050628</v>
      </c>
      <c r="Q81" s="85">
        <f t="shared" si="50"/>
        <v>130.5681639</v>
      </c>
      <c r="R81" s="85">
        <f t="shared" si="50"/>
        <v>1812.618792</v>
      </c>
    </row>
    <row r="83">
      <c r="A83" s="76">
        <v>5.0</v>
      </c>
      <c r="B83" s="12" t="s">
        <v>128</v>
      </c>
      <c r="C83" s="12"/>
      <c r="D83" s="15"/>
      <c r="E83" s="15">
        <f>$E$1* POW((1 -$H$1),A83)</f>
        <v>63391.16895</v>
      </c>
      <c r="F83" s="1" t="s">
        <v>132</v>
      </c>
      <c r="G83" s="8">
        <f>E83/G97</f>
        <v>0.9560252907</v>
      </c>
      <c r="H83" s="1" t="s">
        <v>133</v>
      </c>
      <c r="I83" s="6">
        <f>1-G83</f>
        <v>0.04397470926</v>
      </c>
      <c r="J83" s="12" t="s">
        <v>74</v>
      </c>
      <c r="M83" s="12" t="s">
        <v>78</v>
      </c>
      <c r="N83" s="12"/>
      <c r="O83" s="12"/>
      <c r="P83" s="12"/>
      <c r="Q83" s="12"/>
      <c r="R83" s="12"/>
    </row>
    <row r="84">
      <c r="A84" s="12"/>
      <c r="B84" s="77" t="s">
        <v>83</v>
      </c>
      <c r="C84" s="78" t="s">
        <v>88</v>
      </c>
      <c r="D84" s="44" t="s">
        <v>87</v>
      </c>
      <c r="E84" s="77" t="s">
        <v>140</v>
      </c>
      <c r="F84" s="77" t="s">
        <v>135</v>
      </c>
      <c r="G84" s="78" t="s">
        <v>89</v>
      </c>
      <c r="H84" s="78" t="s">
        <v>138</v>
      </c>
      <c r="I84" s="20" t="s">
        <v>139</v>
      </c>
      <c r="J84" s="78" t="s">
        <v>76</v>
      </c>
      <c r="K84" s="78" t="s">
        <v>82</v>
      </c>
      <c r="L84" s="78" t="s">
        <v>109</v>
      </c>
      <c r="M84" s="78" t="s">
        <v>80</v>
      </c>
      <c r="N84" s="78" t="s">
        <v>67</v>
      </c>
      <c r="O84" s="45" t="s">
        <v>114</v>
      </c>
      <c r="P84" s="79" t="s">
        <v>115</v>
      </c>
      <c r="Q84" s="79" t="s">
        <v>60</v>
      </c>
      <c r="R84" s="79" t="s">
        <v>109</v>
      </c>
    </row>
    <row r="85">
      <c r="A85" s="12"/>
      <c r="B85" s="80" t="s">
        <v>117</v>
      </c>
      <c r="C85" s="87">
        <v>31.0</v>
      </c>
      <c r="D85" s="86">
        <v>0.6479166666666667</v>
      </c>
      <c r="E85" s="88">
        <v>0.02731296772</v>
      </c>
      <c r="F85" s="89">
        <f t="shared" ref="F85:F96" si="51">$E$83*E85</f>
        <v>1731.400951</v>
      </c>
      <c r="G85" s="81">
        <v>5726.0</v>
      </c>
      <c r="H85" s="81">
        <f t="shared" ref="H85:H96" si="52">G85-F85</f>
        <v>3994.599049</v>
      </c>
      <c r="I85" s="25">
        <f t="shared" ref="I85:I96" si="53">D85*G85*(1+$I$83)</f>
        <v>3873.115722</v>
      </c>
      <c r="J85" s="64">
        <f>C85*'Rate Codes'!$D$7</f>
        <v>53.490035</v>
      </c>
      <c r="K85" s="25">
        <f>I85*'Rate Codes'!$D$8</f>
        <v>50.16846795</v>
      </c>
      <c r="L85" s="81">
        <f t="shared" ref="L85:L96" si="54">SUM(J85:K85)</f>
        <v>103.6585029</v>
      </c>
      <c r="M85" s="66">
        <f>I85*'Rate Codes'!$D$8</f>
        <v>50.16846795</v>
      </c>
      <c r="N85" s="67">
        <f>(H85)*'Billing Rate'!$B$1</f>
        <v>271.6327353</v>
      </c>
      <c r="O85" s="25">
        <f t="shared" ref="O85:O97" si="55">L85+M85</f>
        <v>153.8269709</v>
      </c>
      <c r="P85" s="81">
        <f t="shared" ref="P85:P96" si="56">N85+L85+M85</f>
        <v>425.4597062</v>
      </c>
      <c r="Q85" s="25">
        <f t="shared" ref="Q85:Q96" si="57">(IF(N85&gt;0,N85,0)+O85)*0.05</f>
        <v>21.27298531</v>
      </c>
      <c r="R85" s="81">
        <f t="shared" ref="R85:R96" si="58">P85+Q85</f>
        <v>446.7326915</v>
      </c>
    </row>
    <row r="86">
      <c r="A86" s="12"/>
      <c r="B86" s="80" t="s">
        <v>118</v>
      </c>
      <c r="C86" s="87">
        <v>28.0</v>
      </c>
      <c r="D86" s="86">
        <v>0.5868041666666667</v>
      </c>
      <c r="E86" s="88">
        <v>0.04620731865</v>
      </c>
      <c r="F86" s="89">
        <f t="shared" si="51"/>
        <v>2929.135943</v>
      </c>
      <c r="G86" s="81">
        <v>5279.0</v>
      </c>
      <c r="H86" s="81">
        <f t="shared" si="52"/>
        <v>2349.864057</v>
      </c>
      <c r="I86" s="25">
        <f t="shared" si="53"/>
        <v>3233.961376</v>
      </c>
      <c r="J86" s="64">
        <f>C86*'Rate Codes'!$D$7</f>
        <v>48.31358</v>
      </c>
      <c r="K86" s="25">
        <f>I86*'Rate Codes'!$D$8</f>
        <v>41.88950171</v>
      </c>
      <c r="L86" s="81">
        <f t="shared" si="54"/>
        <v>90.20308171</v>
      </c>
      <c r="M86" s="66">
        <f>I86*'Rate Codes'!$D$8</f>
        <v>41.88950171</v>
      </c>
      <c r="N86" s="67">
        <f>(H86)*'Billing Rate'!$B$1</f>
        <v>159.7907558</v>
      </c>
      <c r="O86" s="25">
        <f t="shared" si="55"/>
        <v>132.0925834</v>
      </c>
      <c r="P86" s="81">
        <f t="shared" si="56"/>
        <v>291.8833393</v>
      </c>
      <c r="Q86" s="25">
        <f t="shared" si="57"/>
        <v>14.59416696</v>
      </c>
      <c r="R86" s="81">
        <f t="shared" si="58"/>
        <v>306.4775062</v>
      </c>
    </row>
    <row r="87">
      <c r="A87" s="12"/>
      <c r="B87" s="80" t="s">
        <v>119</v>
      </c>
      <c r="C87" s="87">
        <v>31.0</v>
      </c>
      <c r="D87" s="86">
        <v>0.5083333333333333</v>
      </c>
      <c r="E87" s="88">
        <v>0.08500831624</v>
      </c>
      <c r="F87" s="89">
        <f t="shared" si="51"/>
        <v>5388.776537</v>
      </c>
      <c r="G87" s="81">
        <v>4991.0</v>
      </c>
      <c r="H87" s="81">
        <f t="shared" si="52"/>
        <v>-397.7765372</v>
      </c>
      <c r="I87" s="25">
        <f t="shared" si="53"/>
        <v>2648.659535</v>
      </c>
      <c r="J87" s="64">
        <f>C87*'Rate Codes'!$D$7</f>
        <v>53.490035</v>
      </c>
      <c r="K87" s="25">
        <f>I87*'Rate Codes'!$D$8</f>
        <v>34.30808696</v>
      </c>
      <c r="L87" s="81">
        <f t="shared" si="54"/>
        <v>87.79812196</v>
      </c>
      <c r="M87" s="66">
        <f>I87*'Rate Codes'!$D$8</f>
        <v>34.30808696</v>
      </c>
      <c r="N87" s="67">
        <f>(H87)*'Billing Rate'!$B$1</f>
        <v>-27.04880453</v>
      </c>
      <c r="O87" s="25">
        <f t="shared" si="55"/>
        <v>122.1062089</v>
      </c>
      <c r="P87" s="81">
        <f t="shared" si="56"/>
        <v>95.05740439</v>
      </c>
      <c r="Q87" s="25">
        <f t="shared" si="57"/>
        <v>6.105310446</v>
      </c>
      <c r="R87" s="81">
        <f t="shared" si="58"/>
        <v>101.1627148</v>
      </c>
    </row>
    <row r="88">
      <c r="A88" s="12"/>
      <c r="B88" s="80" t="s">
        <v>120</v>
      </c>
      <c r="C88" s="87">
        <v>30.0</v>
      </c>
      <c r="D88" s="86">
        <v>0.425</v>
      </c>
      <c r="E88" s="88">
        <v>0.108773175</v>
      </c>
      <c r="F88" s="89">
        <f t="shared" si="51"/>
        <v>6895.258714</v>
      </c>
      <c r="G88" s="81">
        <v>4952.0</v>
      </c>
      <c r="H88" s="81">
        <f t="shared" si="52"/>
        <v>-1943.258714</v>
      </c>
      <c r="I88" s="25">
        <f t="shared" si="53"/>
        <v>2197.149173</v>
      </c>
      <c r="J88" s="64">
        <f>C88*'Rate Codes'!$D$7</f>
        <v>51.76455</v>
      </c>
      <c r="K88" s="25">
        <f>I88*'Rate Codes'!$D$8</f>
        <v>28.45967324</v>
      </c>
      <c r="L88" s="81">
        <f t="shared" si="54"/>
        <v>80.22422324</v>
      </c>
      <c r="M88" s="66">
        <f>I88*'Rate Codes'!$D$8</f>
        <v>28.45967324</v>
      </c>
      <c r="N88" s="67">
        <f>(H88)*'Billing Rate'!$B$1</f>
        <v>-132.1415926</v>
      </c>
      <c r="O88" s="25">
        <f t="shared" si="55"/>
        <v>108.6838965</v>
      </c>
      <c r="P88" s="81">
        <f t="shared" si="56"/>
        <v>-23.45769607</v>
      </c>
      <c r="Q88" s="25">
        <f t="shared" si="57"/>
        <v>5.434194824</v>
      </c>
      <c r="R88" s="81">
        <f t="shared" si="58"/>
        <v>-18.02350125</v>
      </c>
    </row>
    <row r="89">
      <c r="A89" s="12"/>
      <c r="B89" s="80" t="s">
        <v>98</v>
      </c>
      <c r="C89" s="87">
        <v>31.0</v>
      </c>
      <c r="D89" s="86">
        <v>0.35277916666666664</v>
      </c>
      <c r="E89" s="88">
        <v>0.1281742617</v>
      </c>
      <c r="F89" s="89">
        <f t="shared" si="51"/>
        <v>8125.116279</v>
      </c>
      <c r="G89" s="81">
        <v>5559.0</v>
      </c>
      <c r="H89" s="81">
        <f t="shared" si="52"/>
        <v>-2566.116279</v>
      </c>
      <c r="I89" s="25">
        <f t="shared" si="53"/>
        <v>2047.338163</v>
      </c>
      <c r="J89" s="64">
        <f>C89*'Rate Codes'!$D$7</f>
        <v>53.490035</v>
      </c>
      <c r="K89" s="25">
        <f>I89*'Rate Codes'!$D$8</f>
        <v>26.51917122</v>
      </c>
      <c r="L89" s="81">
        <f t="shared" si="54"/>
        <v>80.00920622</v>
      </c>
      <c r="M89" s="66">
        <f>I89*'Rate Codes'!$D$8</f>
        <v>26.51917122</v>
      </c>
      <c r="N89" s="67">
        <f>(H89)*'Billing Rate'!$B$1</f>
        <v>-174.495907</v>
      </c>
      <c r="O89" s="25">
        <f t="shared" si="55"/>
        <v>106.5283774</v>
      </c>
      <c r="P89" s="81">
        <f t="shared" si="56"/>
        <v>-67.96752951</v>
      </c>
      <c r="Q89" s="25">
        <f t="shared" si="57"/>
        <v>5.326418872</v>
      </c>
      <c r="R89" s="81">
        <f t="shared" si="58"/>
        <v>-62.64111064</v>
      </c>
    </row>
    <row r="90">
      <c r="A90" s="12"/>
      <c r="B90" s="80" t="s">
        <v>121</v>
      </c>
      <c r="C90" s="87">
        <v>30.0</v>
      </c>
      <c r="D90" s="86">
        <v>0.31388750000000004</v>
      </c>
      <c r="E90" s="88">
        <v>0.1254860808</v>
      </c>
      <c r="F90" s="89">
        <f t="shared" si="51"/>
        <v>7954.709349</v>
      </c>
      <c r="G90" s="81">
        <v>4964.0</v>
      </c>
      <c r="H90" s="81">
        <f t="shared" si="52"/>
        <v>-2990.709349</v>
      </c>
      <c r="I90" s="25">
        <f t="shared" si="53"/>
        <v>1626.656196</v>
      </c>
      <c r="J90" s="64">
        <f>C90*'Rate Codes'!$D$7</f>
        <v>51.76455</v>
      </c>
      <c r="K90" s="25">
        <f>I90*'Rate Codes'!$D$8</f>
        <v>21.0700777</v>
      </c>
      <c r="L90" s="81">
        <f t="shared" si="54"/>
        <v>72.8346277</v>
      </c>
      <c r="M90" s="66">
        <f>I90*'Rate Codes'!$D$8</f>
        <v>21.0700777</v>
      </c>
      <c r="N90" s="67">
        <f>(H90)*'Billing Rate'!$B$1</f>
        <v>-203.3682357</v>
      </c>
      <c r="O90" s="25">
        <f t="shared" si="55"/>
        <v>93.90470541</v>
      </c>
      <c r="P90" s="81">
        <f t="shared" si="56"/>
        <v>-109.4635303</v>
      </c>
      <c r="Q90" s="25">
        <f t="shared" si="57"/>
        <v>4.69523527</v>
      </c>
      <c r="R90" s="81">
        <f t="shared" si="58"/>
        <v>-104.7682951</v>
      </c>
    </row>
    <row r="91">
      <c r="A91" s="12"/>
      <c r="B91" s="80" t="s">
        <v>122</v>
      </c>
      <c r="C91" s="87">
        <v>31.0</v>
      </c>
      <c r="D91" s="86">
        <v>0.33125</v>
      </c>
      <c r="E91" s="88">
        <v>0.1449493112</v>
      </c>
      <c r="F91" s="89">
        <f t="shared" si="51"/>
        <v>9188.506276</v>
      </c>
      <c r="G91" s="81">
        <v>6634.0</v>
      </c>
      <c r="H91" s="81">
        <f t="shared" si="52"/>
        <v>-2554.506276</v>
      </c>
      <c r="I91" s="25">
        <f t="shared" si="53"/>
        <v>2294.147473</v>
      </c>
      <c r="J91" s="64">
        <f>C91*'Rate Codes'!$D$7</f>
        <v>53.490035</v>
      </c>
      <c r="K91" s="25">
        <f>I91*'Rate Codes'!$D$8</f>
        <v>29.71609222</v>
      </c>
      <c r="L91" s="81">
        <f t="shared" si="54"/>
        <v>83.20612722</v>
      </c>
      <c r="M91" s="66">
        <f>I91*'Rate Codes'!$D$8</f>
        <v>29.71609222</v>
      </c>
      <c r="N91" s="67">
        <f>(H91)*'Billing Rate'!$B$1</f>
        <v>-173.7064268</v>
      </c>
      <c r="O91" s="25">
        <f t="shared" si="55"/>
        <v>112.9222194</v>
      </c>
      <c r="P91" s="81">
        <f t="shared" si="56"/>
        <v>-60.78420732</v>
      </c>
      <c r="Q91" s="25">
        <f t="shared" si="57"/>
        <v>5.646110972</v>
      </c>
      <c r="R91" s="81">
        <f t="shared" si="58"/>
        <v>-55.13809635</v>
      </c>
    </row>
    <row r="92">
      <c r="A92" s="12"/>
      <c r="B92" s="80" t="s">
        <v>123</v>
      </c>
      <c r="C92" s="87">
        <v>31.0</v>
      </c>
      <c r="D92" s="86">
        <v>0.3951375</v>
      </c>
      <c r="E92" s="88">
        <v>0.1246952409</v>
      </c>
      <c r="F92" s="89">
        <f t="shared" si="51"/>
        <v>7904.577084</v>
      </c>
      <c r="G92" s="81">
        <v>5909.0</v>
      </c>
      <c r="H92" s="81">
        <f t="shared" si="52"/>
        <v>-1995.577084</v>
      </c>
      <c r="I92" s="25">
        <f t="shared" si="53"/>
        <v>2437.542606</v>
      </c>
      <c r="J92" s="64">
        <f>C92*'Rate Codes'!$D$7</f>
        <v>53.490035</v>
      </c>
      <c r="K92" s="25">
        <f>I92*'Rate Codes'!$D$8</f>
        <v>31.57348938</v>
      </c>
      <c r="L92" s="81">
        <f t="shared" si="54"/>
        <v>85.06352438</v>
      </c>
      <c r="M92" s="66">
        <f>I92*'Rate Codes'!$D$8</f>
        <v>31.57348938</v>
      </c>
      <c r="N92" s="67">
        <f>(H92)*'Billing Rate'!$B$1</f>
        <v>-135.6992417</v>
      </c>
      <c r="O92" s="25">
        <f t="shared" si="55"/>
        <v>116.6370138</v>
      </c>
      <c r="P92" s="81">
        <f t="shared" si="56"/>
        <v>-19.06222792</v>
      </c>
      <c r="Q92" s="25">
        <f t="shared" si="57"/>
        <v>5.831850688</v>
      </c>
      <c r="R92" s="81">
        <f t="shared" si="58"/>
        <v>-13.23037723</v>
      </c>
    </row>
    <row r="93">
      <c r="A93" s="12"/>
      <c r="B93" s="80" t="s">
        <v>124</v>
      </c>
      <c r="C93" s="87">
        <v>30.0</v>
      </c>
      <c r="D93" s="86">
        <v>0.4756958333333334</v>
      </c>
      <c r="E93" s="88">
        <v>0.09825803101</v>
      </c>
      <c r="F93" s="89">
        <f t="shared" si="51"/>
        <v>6228.691445</v>
      </c>
      <c r="G93" s="81">
        <v>5270.0</v>
      </c>
      <c r="H93" s="81">
        <f t="shared" si="52"/>
        <v>-958.6914447</v>
      </c>
      <c r="I93" s="25">
        <f t="shared" si="53"/>
        <v>2617.15799</v>
      </c>
      <c r="J93" s="64">
        <f>C93*'Rate Codes'!$D$7</f>
        <v>51.76455</v>
      </c>
      <c r="K93" s="25">
        <f>I93*'Rate Codes'!$D$8</f>
        <v>33.90004744</v>
      </c>
      <c r="L93" s="81">
        <f t="shared" si="54"/>
        <v>85.66459744</v>
      </c>
      <c r="M93" s="66">
        <f>I93*'Rate Codes'!$D$8</f>
        <v>33.90004744</v>
      </c>
      <c r="N93" s="67">
        <f>(H93)*'Billing Rate'!$B$1</f>
        <v>-65.19101824</v>
      </c>
      <c r="O93" s="25">
        <f t="shared" si="55"/>
        <v>119.5646449</v>
      </c>
      <c r="P93" s="81">
        <f t="shared" si="56"/>
        <v>54.37362664</v>
      </c>
      <c r="Q93" s="25">
        <f t="shared" si="57"/>
        <v>5.978232244</v>
      </c>
      <c r="R93" s="81">
        <f t="shared" si="58"/>
        <v>60.35185888</v>
      </c>
    </row>
    <row r="94">
      <c r="A94" s="12"/>
      <c r="B94" s="80" t="s">
        <v>125</v>
      </c>
      <c r="C94" s="87">
        <v>31.0</v>
      </c>
      <c r="D94" s="86">
        <v>0.5590291666666667</v>
      </c>
      <c r="E94" s="88">
        <v>0.06840443866</v>
      </c>
      <c r="F94" s="89">
        <f t="shared" si="51"/>
        <v>4336.237328</v>
      </c>
      <c r="G94" s="81">
        <v>5946.0</v>
      </c>
      <c r="H94" s="81">
        <f t="shared" si="52"/>
        <v>1609.762672</v>
      </c>
      <c r="I94" s="25">
        <f t="shared" si="53"/>
        <v>3470.158806</v>
      </c>
      <c r="J94" s="64">
        <f>C94*'Rate Codes'!$D$7</f>
        <v>53.490035</v>
      </c>
      <c r="K94" s="25">
        <f>I94*'Rate Codes'!$D$8</f>
        <v>44.94896701</v>
      </c>
      <c r="L94" s="81">
        <f t="shared" si="54"/>
        <v>98.43900201</v>
      </c>
      <c r="M94" s="66">
        <f>I94*'Rate Codes'!$D$8</f>
        <v>44.94896701</v>
      </c>
      <c r="N94" s="67">
        <f>(H94)*'Billing Rate'!$B$1</f>
        <v>109.4638617</v>
      </c>
      <c r="O94" s="25">
        <f t="shared" si="55"/>
        <v>143.387969</v>
      </c>
      <c r="P94" s="81">
        <f t="shared" si="56"/>
        <v>252.8518307</v>
      </c>
      <c r="Q94" s="25">
        <f t="shared" si="57"/>
        <v>12.64259153</v>
      </c>
      <c r="R94" s="81">
        <f t="shared" si="58"/>
        <v>265.4944222</v>
      </c>
    </row>
    <row r="95">
      <c r="A95" s="12"/>
      <c r="B95" s="80" t="s">
        <v>126</v>
      </c>
      <c r="C95" s="87">
        <v>30.0</v>
      </c>
      <c r="D95" s="86">
        <v>0.63125</v>
      </c>
      <c r="E95" s="88">
        <v>0.0271408052</v>
      </c>
      <c r="F95" s="89">
        <f t="shared" si="51"/>
        <v>1720.487368</v>
      </c>
      <c r="G95" s="81">
        <v>5587.0</v>
      </c>
      <c r="H95" s="81">
        <f t="shared" si="52"/>
        <v>3866.512632</v>
      </c>
      <c r="I95" s="25">
        <f t="shared" si="53"/>
        <v>3681.88348</v>
      </c>
      <c r="J95" s="64">
        <f>C95*'Rate Codes'!$D$7</f>
        <v>51.76455</v>
      </c>
      <c r="K95" s="25">
        <f>I95*'Rate Codes'!$D$8</f>
        <v>47.69143671</v>
      </c>
      <c r="L95" s="81">
        <f t="shared" si="54"/>
        <v>99.45598671</v>
      </c>
      <c r="M95" s="66">
        <f>I95*'Rate Codes'!$D$8</f>
        <v>47.69143671</v>
      </c>
      <c r="N95" s="67">
        <f>(H95)*'Billing Rate'!$B$1</f>
        <v>262.922859</v>
      </c>
      <c r="O95" s="25">
        <f t="shared" si="55"/>
        <v>147.1474234</v>
      </c>
      <c r="P95" s="81">
        <f t="shared" si="56"/>
        <v>410.0702824</v>
      </c>
      <c r="Q95" s="25">
        <f t="shared" si="57"/>
        <v>20.50351412</v>
      </c>
      <c r="R95" s="81">
        <f t="shared" si="58"/>
        <v>430.5737965</v>
      </c>
    </row>
    <row r="96">
      <c r="A96" s="12"/>
      <c r="B96" s="80" t="s">
        <v>127</v>
      </c>
      <c r="C96" s="87">
        <v>31.0</v>
      </c>
      <c r="D96" s="86">
        <v>0.6680541666666667</v>
      </c>
      <c r="E96" s="88">
        <v>0.01559005293</v>
      </c>
      <c r="F96" s="89">
        <f t="shared" si="51"/>
        <v>988.2716793</v>
      </c>
      <c r="G96" s="81">
        <v>5490.0</v>
      </c>
      <c r="H96" s="81">
        <f t="shared" si="52"/>
        <v>4501.728321</v>
      </c>
      <c r="I96" s="25">
        <f t="shared" si="53"/>
        <v>3828.899783</v>
      </c>
      <c r="J96" s="64">
        <f>C96*'Rate Codes'!$D$7</f>
        <v>53.490035</v>
      </c>
      <c r="K96" s="25">
        <f>I96*'Rate Codes'!$D$8</f>
        <v>49.59573889</v>
      </c>
      <c r="L96" s="81">
        <f t="shared" si="54"/>
        <v>103.0857739</v>
      </c>
      <c r="M96" s="66">
        <f>I96*'Rate Codes'!$D$8</f>
        <v>49.59573889</v>
      </c>
      <c r="N96" s="67">
        <f>(H96)*'Billing Rate'!$B$1</f>
        <v>306.1175258</v>
      </c>
      <c r="O96" s="25">
        <f t="shared" si="55"/>
        <v>152.6815128</v>
      </c>
      <c r="P96" s="81">
        <f t="shared" si="56"/>
        <v>458.7990386</v>
      </c>
      <c r="Q96" s="25">
        <f t="shared" si="57"/>
        <v>22.93995193</v>
      </c>
      <c r="R96" s="81">
        <f t="shared" si="58"/>
        <v>481.7389905</v>
      </c>
    </row>
    <row r="97">
      <c r="A97" s="12"/>
      <c r="B97" s="77" t="s">
        <v>109</v>
      </c>
      <c r="C97" s="82"/>
      <c r="D97" s="83"/>
      <c r="E97" s="83">
        <f t="shared" ref="E97:N97" si="59">SUM(E85:E96)</f>
        <v>1</v>
      </c>
      <c r="F97" s="84">
        <f t="shared" si="59"/>
        <v>63391.16895</v>
      </c>
      <c r="G97" s="85">
        <f t="shared" si="59"/>
        <v>66307</v>
      </c>
      <c r="H97" s="85">
        <f t="shared" si="59"/>
        <v>2915.831046</v>
      </c>
      <c r="I97" s="48">
        <f t="shared" si="59"/>
        <v>33956.6703</v>
      </c>
      <c r="J97" s="85">
        <f t="shared" si="59"/>
        <v>629.802025</v>
      </c>
      <c r="K97" s="85">
        <f t="shared" si="59"/>
        <v>439.8407504</v>
      </c>
      <c r="L97" s="85">
        <f t="shared" si="59"/>
        <v>1069.642775</v>
      </c>
      <c r="M97" s="85">
        <f t="shared" si="59"/>
        <v>439.8407504</v>
      </c>
      <c r="N97" s="85">
        <f t="shared" si="59"/>
        <v>198.2765112</v>
      </c>
      <c r="O97" s="48">
        <f t="shared" si="55"/>
        <v>1509.483526</v>
      </c>
      <c r="P97" s="85">
        <f t="shared" ref="P97:R97" si="60">SUM(P85:P96)</f>
        <v>1707.760037</v>
      </c>
      <c r="Q97" s="85">
        <f t="shared" si="60"/>
        <v>130.9705632</v>
      </c>
      <c r="R97" s="85">
        <f t="shared" si="60"/>
        <v>1838.7306</v>
      </c>
    </row>
    <row r="99">
      <c r="A99" s="76">
        <v>6.0</v>
      </c>
      <c r="B99" s="12" t="s">
        <v>128</v>
      </c>
      <c r="C99" s="12"/>
      <c r="D99" s="15"/>
      <c r="E99" s="15">
        <f>$E$1* POW((1 -$H$1),A99)</f>
        <v>63074.21311</v>
      </c>
      <c r="F99" s="1" t="s">
        <v>132</v>
      </c>
      <c r="G99" s="8">
        <f>E99/G113</f>
        <v>0.9512451643</v>
      </c>
      <c r="H99" s="1" t="s">
        <v>133</v>
      </c>
      <c r="I99" s="6">
        <f>1-G99</f>
        <v>0.04875483572</v>
      </c>
      <c r="J99" s="12" t="s">
        <v>74</v>
      </c>
      <c r="M99" s="12" t="s">
        <v>78</v>
      </c>
      <c r="N99" s="12"/>
      <c r="O99" s="12"/>
      <c r="P99" s="12"/>
      <c r="Q99" s="12"/>
      <c r="R99" s="12"/>
    </row>
    <row r="100">
      <c r="A100" s="12"/>
      <c r="B100" s="77" t="s">
        <v>83</v>
      </c>
      <c r="C100" s="78" t="s">
        <v>88</v>
      </c>
      <c r="D100" s="44" t="s">
        <v>87</v>
      </c>
      <c r="E100" s="77" t="s">
        <v>140</v>
      </c>
      <c r="F100" s="77" t="s">
        <v>135</v>
      </c>
      <c r="G100" s="78" t="s">
        <v>89</v>
      </c>
      <c r="H100" s="78" t="s">
        <v>138</v>
      </c>
      <c r="I100" s="20" t="s">
        <v>139</v>
      </c>
      <c r="J100" s="78" t="s">
        <v>76</v>
      </c>
      <c r="K100" s="78" t="s">
        <v>82</v>
      </c>
      <c r="L100" s="78" t="s">
        <v>109</v>
      </c>
      <c r="M100" s="78" t="s">
        <v>80</v>
      </c>
      <c r="N100" s="78" t="s">
        <v>67</v>
      </c>
      <c r="O100" s="45" t="s">
        <v>114</v>
      </c>
      <c r="P100" s="79" t="s">
        <v>115</v>
      </c>
      <c r="Q100" s="79" t="s">
        <v>60</v>
      </c>
      <c r="R100" s="79" t="s">
        <v>109</v>
      </c>
    </row>
    <row r="101">
      <c r="A101" s="12"/>
      <c r="B101" s="80" t="s">
        <v>117</v>
      </c>
      <c r="C101" s="87">
        <v>31.0</v>
      </c>
      <c r="D101" s="86">
        <v>0.6479166666666667</v>
      </c>
      <c r="E101" s="88">
        <v>0.02731296772</v>
      </c>
      <c r="F101" s="89">
        <f t="shared" ref="F101:F112" si="61">$E$99*E101</f>
        <v>1722.743947</v>
      </c>
      <c r="G101" s="81">
        <v>5726.0</v>
      </c>
      <c r="H101" s="81">
        <f t="shared" ref="H101:H112" si="62">G101-F101</f>
        <v>4003.256053</v>
      </c>
      <c r="I101" s="25">
        <f t="shared" ref="I101:I112" si="63">D101*G101*(1+$I$99)</f>
        <v>3890.849852</v>
      </c>
      <c r="J101" s="64">
        <f>C101*'Rate Codes'!$D$7</f>
        <v>53.490035</v>
      </c>
      <c r="K101" s="25">
        <f>I101*'Rate Codes'!$D$8</f>
        <v>50.39817813</v>
      </c>
      <c r="L101" s="81">
        <f t="shared" ref="L101:L112" si="64">SUM(J101:K101)</f>
        <v>103.8882131</v>
      </c>
      <c r="M101" s="66">
        <f>I101*'Rate Codes'!$D$8</f>
        <v>50.39817813</v>
      </c>
      <c r="N101" s="67">
        <f>(H101)*'Billing Rate'!$B$1</f>
        <v>272.2214116</v>
      </c>
      <c r="O101" s="25">
        <f t="shared" ref="O101:O113" si="65">L101+M101</f>
        <v>154.2863913</v>
      </c>
      <c r="P101" s="81">
        <f t="shared" ref="P101:P112" si="66">N101+L101+M101</f>
        <v>426.5078029</v>
      </c>
      <c r="Q101" s="25">
        <f t="shared" ref="Q101:Q112" si="67">(IF(N101&gt;0,N101,0)+O101)*0.05</f>
        <v>21.32539014</v>
      </c>
      <c r="R101" s="81">
        <f t="shared" ref="R101:R112" si="68">P101+Q101</f>
        <v>447.833193</v>
      </c>
    </row>
    <row r="102">
      <c r="A102" s="12"/>
      <c r="B102" s="80" t="s">
        <v>118</v>
      </c>
      <c r="C102" s="87">
        <v>28.0</v>
      </c>
      <c r="D102" s="86">
        <v>0.5868041666666667</v>
      </c>
      <c r="E102" s="88">
        <v>0.04620731865</v>
      </c>
      <c r="F102" s="89">
        <f t="shared" si="61"/>
        <v>2914.490264</v>
      </c>
      <c r="G102" s="81">
        <v>5279.0</v>
      </c>
      <c r="H102" s="81">
        <f t="shared" si="62"/>
        <v>2364.509736</v>
      </c>
      <c r="I102" s="25">
        <f t="shared" si="63"/>
        <v>3248.768961</v>
      </c>
      <c r="J102" s="64">
        <f>C102*'Rate Codes'!$D$7</f>
        <v>48.31358</v>
      </c>
      <c r="K102" s="25">
        <f>I102*'Rate Codes'!$D$8</f>
        <v>42.08130436</v>
      </c>
      <c r="L102" s="81">
        <f t="shared" si="64"/>
        <v>90.39488436</v>
      </c>
      <c r="M102" s="66">
        <f>I102*'Rate Codes'!$D$8</f>
        <v>42.08130436</v>
      </c>
      <c r="N102" s="67">
        <f>(H102)*'Billing Rate'!$B$1</f>
        <v>160.7866621</v>
      </c>
      <c r="O102" s="25">
        <f t="shared" si="65"/>
        <v>132.4761887</v>
      </c>
      <c r="P102" s="81">
        <f t="shared" si="66"/>
        <v>293.2628508</v>
      </c>
      <c r="Q102" s="25">
        <f t="shared" si="67"/>
        <v>14.66314254</v>
      </c>
      <c r="R102" s="81">
        <f t="shared" si="68"/>
        <v>307.9259933</v>
      </c>
    </row>
    <row r="103">
      <c r="A103" s="12"/>
      <c r="B103" s="80" t="s">
        <v>119</v>
      </c>
      <c r="C103" s="87">
        <v>31.0</v>
      </c>
      <c r="D103" s="86">
        <v>0.5083333333333333</v>
      </c>
      <c r="E103" s="88">
        <v>0.08500831624</v>
      </c>
      <c r="F103" s="89">
        <f t="shared" si="61"/>
        <v>5361.832654</v>
      </c>
      <c r="G103" s="81">
        <v>4991.0</v>
      </c>
      <c r="H103" s="81">
        <f t="shared" si="62"/>
        <v>-370.8326545</v>
      </c>
      <c r="I103" s="25">
        <f t="shared" si="63"/>
        <v>2660.787154</v>
      </c>
      <c r="J103" s="64">
        <f>C103*'Rate Codes'!$D$7</f>
        <v>53.490035</v>
      </c>
      <c r="K103" s="25">
        <f>I103*'Rate Codes'!$D$8</f>
        <v>34.46517601</v>
      </c>
      <c r="L103" s="81">
        <f t="shared" si="64"/>
        <v>87.95521101</v>
      </c>
      <c r="M103" s="66">
        <f>I103*'Rate Codes'!$D$8</f>
        <v>34.46517601</v>
      </c>
      <c r="N103" s="67">
        <f>(H103)*'Billing Rate'!$B$1</f>
        <v>-25.21662051</v>
      </c>
      <c r="O103" s="25">
        <f t="shared" si="65"/>
        <v>122.420387</v>
      </c>
      <c r="P103" s="81">
        <f t="shared" si="66"/>
        <v>97.20376651</v>
      </c>
      <c r="Q103" s="25">
        <f t="shared" si="67"/>
        <v>6.121019351</v>
      </c>
      <c r="R103" s="81">
        <f t="shared" si="68"/>
        <v>103.3247859</v>
      </c>
    </row>
    <row r="104">
      <c r="A104" s="12"/>
      <c r="B104" s="80" t="s">
        <v>120</v>
      </c>
      <c r="C104" s="87">
        <v>30.0</v>
      </c>
      <c r="D104" s="86">
        <v>0.425</v>
      </c>
      <c r="E104" s="88">
        <v>0.108773175</v>
      </c>
      <c r="F104" s="89">
        <f t="shared" si="61"/>
        <v>6860.78242</v>
      </c>
      <c r="G104" s="81">
        <v>4952.0</v>
      </c>
      <c r="H104" s="81">
        <f t="shared" si="62"/>
        <v>-1908.78242</v>
      </c>
      <c r="I104" s="25">
        <f t="shared" si="63"/>
        <v>2207.209427</v>
      </c>
      <c r="J104" s="64">
        <f>C104*'Rate Codes'!$D$7</f>
        <v>51.76455</v>
      </c>
      <c r="K104" s="25">
        <f>I104*'Rate Codes'!$D$8</f>
        <v>28.58998371</v>
      </c>
      <c r="L104" s="81">
        <f t="shared" si="64"/>
        <v>80.35453371</v>
      </c>
      <c r="M104" s="66">
        <f>I104*'Rate Codes'!$D$8</f>
        <v>28.58998371</v>
      </c>
      <c r="N104" s="67">
        <f>(H104)*'Billing Rate'!$B$1</f>
        <v>-129.7972046</v>
      </c>
      <c r="O104" s="25">
        <f t="shared" si="65"/>
        <v>108.9445174</v>
      </c>
      <c r="P104" s="81">
        <f t="shared" si="66"/>
        <v>-20.85268716</v>
      </c>
      <c r="Q104" s="25">
        <f t="shared" si="67"/>
        <v>5.447225871</v>
      </c>
      <c r="R104" s="81">
        <f t="shared" si="68"/>
        <v>-15.40546129</v>
      </c>
    </row>
    <row r="105">
      <c r="A105" s="12"/>
      <c r="B105" s="80" t="s">
        <v>98</v>
      </c>
      <c r="C105" s="87">
        <v>31.0</v>
      </c>
      <c r="D105" s="86">
        <v>0.35277916666666664</v>
      </c>
      <c r="E105" s="88">
        <v>0.1281742617</v>
      </c>
      <c r="F105" s="89">
        <f t="shared" si="61"/>
        <v>8084.490697</v>
      </c>
      <c r="G105" s="81">
        <v>5559.0</v>
      </c>
      <c r="H105" s="81">
        <f t="shared" si="62"/>
        <v>-2525.490697</v>
      </c>
      <c r="I105" s="25">
        <f t="shared" si="63"/>
        <v>2056.712466</v>
      </c>
      <c r="J105" s="64">
        <f>C105*'Rate Codes'!$D$7</f>
        <v>53.490035</v>
      </c>
      <c r="K105" s="25">
        <f>I105*'Rate Codes'!$D$8</f>
        <v>26.64059657</v>
      </c>
      <c r="L105" s="81">
        <f t="shared" si="64"/>
        <v>80.13063157</v>
      </c>
      <c r="M105" s="66">
        <f>I105*'Rate Codes'!$D$8</f>
        <v>26.64059657</v>
      </c>
      <c r="N105" s="67">
        <f>(H105)*'Billing Rate'!$B$1</f>
        <v>-171.7333674</v>
      </c>
      <c r="O105" s="25">
        <f t="shared" si="65"/>
        <v>106.7712281</v>
      </c>
      <c r="P105" s="81">
        <f t="shared" si="66"/>
        <v>-64.96213928</v>
      </c>
      <c r="Q105" s="25">
        <f t="shared" si="67"/>
        <v>5.338561407</v>
      </c>
      <c r="R105" s="81">
        <f t="shared" si="68"/>
        <v>-59.62357788</v>
      </c>
    </row>
    <row r="106">
      <c r="A106" s="12"/>
      <c r="B106" s="80" t="s">
        <v>121</v>
      </c>
      <c r="C106" s="87">
        <v>30.0</v>
      </c>
      <c r="D106" s="86">
        <v>0.31388750000000004</v>
      </c>
      <c r="E106" s="88">
        <v>0.1254860808</v>
      </c>
      <c r="F106" s="89">
        <f t="shared" si="61"/>
        <v>7914.935802</v>
      </c>
      <c r="G106" s="81">
        <v>4964.0</v>
      </c>
      <c r="H106" s="81">
        <f t="shared" si="62"/>
        <v>-2950.935802</v>
      </c>
      <c r="I106" s="25">
        <f t="shared" si="63"/>
        <v>1634.10429</v>
      </c>
      <c r="J106" s="64">
        <f>C106*'Rate Codes'!$D$7</f>
        <v>51.76455</v>
      </c>
      <c r="K106" s="25">
        <f>I106*'Rate Codes'!$D$8</f>
        <v>21.16655287</v>
      </c>
      <c r="L106" s="81">
        <f t="shared" si="64"/>
        <v>72.93110287</v>
      </c>
      <c r="M106" s="66">
        <f>I106*'Rate Codes'!$D$8</f>
        <v>21.16655287</v>
      </c>
      <c r="N106" s="67">
        <f>(H106)*'Billing Rate'!$B$1</f>
        <v>-200.6636346</v>
      </c>
      <c r="O106" s="25">
        <f t="shared" si="65"/>
        <v>94.09765574</v>
      </c>
      <c r="P106" s="81">
        <f t="shared" si="66"/>
        <v>-106.5659788</v>
      </c>
      <c r="Q106" s="25">
        <f t="shared" si="67"/>
        <v>4.704882787</v>
      </c>
      <c r="R106" s="81">
        <f t="shared" si="68"/>
        <v>-101.861096</v>
      </c>
    </row>
    <row r="107">
      <c r="A107" s="12"/>
      <c r="B107" s="80" t="s">
        <v>122</v>
      </c>
      <c r="C107" s="87">
        <v>31.0</v>
      </c>
      <c r="D107" s="86">
        <v>0.33125</v>
      </c>
      <c r="E107" s="88">
        <v>0.1449493112</v>
      </c>
      <c r="F107" s="89">
        <f t="shared" si="61"/>
        <v>9142.563745</v>
      </c>
      <c r="G107" s="81">
        <v>6634.0</v>
      </c>
      <c r="H107" s="81">
        <f t="shared" si="62"/>
        <v>-2508.563745</v>
      </c>
      <c r="I107" s="25">
        <f t="shared" si="63"/>
        <v>2304.651861</v>
      </c>
      <c r="J107" s="64">
        <f>C107*'Rate Codes'!$D$7</f>
        <v>53.490035</v>
      </c>
      <c r="K107" s="25">
        <f>I107*'Rate Codes'!$D$8</f>
        <v>29.85215555</v>
      </c>
      <c r="L107" s="81">
        <f t="shared" si="64"/>
        <v>83.34219055</v>
      </c>
      <c r="M107" s="66">
        <f>I107*'Rate Codes'!$D$8</f>
        <v>29.85215555</v>
      </c>
      <c r="N107" s="67">
        <f>(H107)*'Billing Rate'!$B$1</f>
        <v>-170.5823346</v>
      </c>
      <c r="O107" s="25">
        <f t="shared" si="65"/>
        <v>113.1943461</v>
      </c>
      <c r="P107" s="81">
        <f t="shared" si="66"/>
        <v>-57.38798852</v>
      </c>
      <c r="Q107" s="25">
        <f t="shared" si="67"/>
        <v>5.659717305</v>
      </c>
      <c r="R107" s="81">
        <f t="shared" si="68"/>
        <v>-51.72827121</v>
      </c>
    </row>
    <row r="108">
      <c r="A108" s="12"/>
      <c r="B108" s="80" t="s">
        <v>123</v>
      </c>
      <c r="C108" s="87">
        <v>31.0</v>
      </c>
      <c r="D108" s="86">
        <v>0.3951375</v>
      </c>
      <c r="E108" s="88">
        <v>0.1246952409</v>
      </c>
      <c r="F108" s="89">
        <f t="shared" si="61"/>
        <v>7865.054198</v>
      </c>
      <c r="G108" s="81">
        <v>5909.0</v>
      </c>
      <c r="H108" s="81">
        <f t="shared" si="62"/>
        <v>-1956.054198</v>
      </c>
      <c r="I108" s="25">
        <f t="shared" si="63"/>
        <v>2448.703568</v>
      </c>
      <c r="J108" s="64">
        <f>C108*'Rate Codes'!$D$7</f>
        <v>53.490035</v>
      </c>
      <c r="K108" s="25">
        <f>I108*'Rate Codes'!$D$8</f>
        <v>31.71805732</v>
      </c>
      <c r="L108" s="81">
        <f t="shared" si="64"/>
        <v>85.20809232</v>
      </c>
      <c r="M108" s="66">
        <f>I108*'Rate Codes'!$D$8</f>
        <v>31.71805732</v>
      </c>
      <c r="N108" s="67">
        <f>(H108)*'Billing Rate'!$B$1</f>
        <v>-133.0116855</v>
      </c>
      <c r="O108" s="25">
        <f t="shared" si="65"/>
        <v>116.9261496</v>
      </c>
      <c r="P108" s="81">
        <f t="shared" si="66"/>
        <v>-16.08553583</v>
      </c>
      <c r="Q108" s="25">
        <f t="shared" si="67"/>
        <v>5.846307482</v>
      </c>
      <c r="R108" s="81">
        <f t="shared" si="68"/>
        <v>-10.23922835</v>
      </c>
    </row>
    <row r="109">
      <c r="A109" s="12"/>
      <c r="B109" s="80" t="s">
        <v>124</v>
      </c>
      <c r="C109" s="87">
        <v>30.0</v>
      </c>
      <c r="D109" s="86">
        <v>0.4756958333333334</v>
      </c>
      <c r="E109" s="88">
        <v>0.09825803101</v>
      </c>
      <c r="F109" s="89">
        <f t="shared" si="61"/>
        <v>6197.547988</v>
      </c>
      <c r="G109" s="81">
        <v>5270.0</v>
      </c>
      <c r="H109" s="81">
        <f t="shared" si="62"/>
        <v>-927.5479875</v>
      </c>
      <c r="I109" s="25">
        <f t="shared" si="63"/>
        <v>2629.14137</v>
      </c>
      <c r="J109" s="64">
        <f>C109*'Rate Codes'!$D$7</f>
        <v>51.76455</v>
      </c>
      <c r="K109" s="25">
        <f>I109*'Rate Codes'!$D$8</f>
        <v>34.05526817</v>
      </c>
      <c r="L109" s="81">
        <f t="shared" si="64"/>
        <v>85.81981817</v>
      </c>
      <c r="M109" s="66">
        <f>I109*'Rate Codes'!$D$8</f>
        <v>34.05526817</v>
      </c>
      <c r="N109" s="67">
        <f>(H109)*'Billing Rate'!$B$1</f>
        <v>-63.07326315</v>
      </c>
      <c r="O109" s="25">
        <f t="shared" si="65"/>
        <v>119.8750863</v>
      </c>
      <c r="P109" s="81">
        <f t="shared" si="66"/>
        <v>56.80182319</v>
      </c>
      <c r="Q109" s="25">
        <f t="shared" si="67"/>
        <v>5.993754317</v>
      </c>
      <c r="R109" s="81">
        <f t="shared" si="68"/>
        <v>62.7955775</v>
      </c>
    </row>
    <row r="110">
      <c r="A110" s="12"/>
      <c r="B110" s="80" t="s">
        <v>125</v>
      </c>
      <c r="C110" s="87">
        <v>31.0</v>
      </c>
      <c r="D110" s="86">
        <v>0.5590291666666667</v>
      </c>
      <c r="E110" s="88">
        <v>0.06840443866</v>
      </c>
      <c r="F110" s="89">
        <f t="shared" si="61"/>
        <v>4314.556142</v>
      </c>
      <c r="G110" s="81">
        <v>5946.0</v>
      </c>
      <c r="H110" s="81">
        <f t="shared" si="62"/>
        <v>1631.443858</v>
      </c>
      <c r="I110" s="25">
        <f t="shared" si="63"/>
        <v>3486.047886</v>
      </c>
      <c r="J110" s="64">
        <f>C110*'Rate Codes'!$D$7</f>
        <v>53.490035</v>
      </c>
      <c r="K110" s="25">
        <f>I110*'Rate Codes'!$D$8</f>
        <v>45.15477827</v>
      </c>
      <c r="L110" s="81">
        <f t="shared" si="64"/>
        <v>98.64481327</v>
      </c>
      <c r="M110" s="66">
        <f>I110*'Rate Codes'!$D$8</f>
        <v>45.15477827</v>
      </c>
      <c r="N110" s="67">
        <f>(H110)*'Billing Rate'!$B$1</f>
        <v>110.9381824</v>
      </c>
      <c r="O110" s="25">
        <f t="shared" si="65"/>
        <v>143.7995915</v>
      </c>
      <c r="P110" s="81">
        <f t="shared" si="66"/>
        <v>254.7377739</v>
      </c>
      <c r="Q110" s="25">
        <f t="shared" si="67"/>
        <v>12.7368887</v>
      </c>
      <c r="R110" s="81">
        <f t="shared" si="68"/>
        <v>267.4746626</v>
      </c>
    </row>
    <row r="111">
      <c r="A111" s="12"/>
      <c r="B111" s="80" t="s">
        <v>126</v>
      </c>
      <c r="C111" s="87">
        <v>30.0</v>
      </c>
      <c r="D111" s="86">
        <v>0.63125</v>
      </c>
      <c r="E111" s="88">
        <v>0.0271408052</v>
      </c>
      <c r="F111" s="89">
        <f t="shared" si="61"/>
        <v>1711.884931</v>
      </c>
      <c r="G111" s="81">
        <v>5587.0</v>
      </c>
      <c r="H111" s="81">
        <f t="shared" si="62"/>
        <v>3875.115069</v>
      </c>
      <c r="I111" s="25">
        <f t="shared" si="63"/>
        <v>3698.742</v>
      </c>
      <c r="J111" s="64">
        <f>C111*'Rate Codes'!$D$7</f>
        <v>51.76455</v>
      </c>
      <c r="K111" s="25">
        <f>I111*'Rate Codes'!$D$8</f>
        <v>47.90980512</v>
      </c>
      <c r="L111" s="81">
        <f t="shared" si="64"/>
        <v>99.67435512</v>
      </c>
      <c r="M111" s="66">
        <f>I111*'Rate Codes'!$D$8</f>
        <v>47.90980512</v>
      </c>
      <c r="N111" s="67">
        <f>(H111)*'Billing Rate'!$B$1</f>
        <v>263.5078247</v>
      </c>
      <c r="O111" s="25">
        <f t="shared" si="65"/>
        <v>147.5841602</v>
      </c>
      <c r="P111" s="81">
        <f t="shared" si="66"/>
        <v>411.0919849</v>
      </c>
      <c r="Q111" s="25">
        <f t="shared" si="67"/>
        <v>20.55459925</v>
      </c>
      <c r="R111" s="81">
        <f t="shared" si="68"/>
        <v>431.6465842</v>
      </c>
    </row>
    <row r="112">
      <c r="A112" s="12"/>
      <c r="B112" s="80" t="s">
        <v>127</v>
      </c>
      <c r="C112" s="87">
        <v>31.0</v>
      </c>
      <c r="D112" s="86">
        <v>0.6680541666666667</v>
      </c>
      <c r="E112" s="88">
        <v>0.01559005293</v>
      </c>
      <c r="F112" s="89">
        <f t="shared" si="61"/>
        <v>983.3303209</v>
      </c>
      <c r="G112" s="81">
        <v>5490.0</v>
      </c>
      <c r="H112" s="81">
        <f t="shared" si="62"/>
        <v>4506.669679</v>
      </c>
      <c r="I112" s="25">
        <f t="shared" si="63"/>
        <v>3846.431458</v>
      </c>
      <c r="J112" s="64">
        <f>C112*'Rate Codes'!$D$7</f>
        <v>53.490035</v>
      </c>
      <c r="K112" s="25">
        <f>I112*'Rate Codes'!$D$8</f>
        <v>49.82282667</v>
      </c>
      <c r="L112" s="81">
        <f t="shared" si="64"/>
        <v>103.3128617</v>
      </c>
      <c r="M112" s="66">
        <f>I112*'Rate Codes'!$D$8</f>
        <v>49.82282667</v>
      </c>
      <c r="N112" s="67">
        <f>(H112)*'Billing Rate'!$B$1</f>
        <v>306.4535382</v>
      </c>
      <c r="O112" s="25">
        <f t="shared" si="65"/>
        <v>153.1356883</v>
      </c>
      <c r="P112" s="81">
        <f t="shared" si="66"/>
        <v>459.5892265</v>
      </c>
      <c r="Q112" s="25">
        <f t="shared" si="67"/>
        <v>22.97946133</v>
      </c>
      <c r="R112" s="81">
        <f t="shared" si="68"/>
        <v>482.5686878</v>
      </c>
    </row>
    <row r="113">
      <c r="A113" s="12"/>
      <c r="B113" s="77" t="s">
        <v>109</v>
      </c>
      <c r="C113" s="82"/>
      <c r="D113" s="83"/>
      <c r="E113" s="83">
        <f t="shared" ref="E113:N113" si="69">SUM(E101:E112)</f>
        <v>1</v>
      </c>
      <c r="F113" s="84">
        <f t="shared" si="69"/>
        <v>63074.21311</v>
      </c>
      <c r="G113" s="85">
        <f t="shared" si="69"/>
        <v>66307</v>
      </c>
      <c r="H113" s="85">
        <f t="shared" si="69"/>
        <v>3232.786891</v>
      </c>
      <c r="I113" s="48">
        <f t="shared" si="69"/>
        <v>34112.15029</v>
      </c>
      <c r="J113" s="85">
        <f t="shared" si="69"/>
        <v>629.802025</v>
      </c>
      <c r="K113" s="85">
        <f t="shared" si="69"/>
        <v>441.8546828</v>
      </c>
      <c r="L113" s="85">
        <f t="shared" si="69"/>
        <v>1071.656708</v>
      </c>
      <c r="M113" s="85">
        <f t="shared" si="69"/>
        <v>441.8546828</v>
      </c>
      <c r="N113" s="85">
        <f t="shared" si="69"/>
        <v>219.8295086</v>
      </c>
      <c r="O113" s="48">
        <f t="shared" si="65"/>
        <v>1513.511391</v>
      </c>
      <c r="P113" s="85">
        <f t="shared" ref="P113:R113" si="70">SUM(P101:P112)</f>
        <v>1733.340899</v>
      </c>
      <c r="Q113" s="85">
        <f t="shared" si="70"/>
        <v>131.3709505</v>
      </c>
      <c r="R113" s="85">
        <f t="shared" si="70"/>
        <v>1864.71185</v>
      </c>
    </row>
    <row r="115">
      <c r="A115" s="76">
        <v>7.0</v>
      </c>
      <c r="B115" s="12" t="s">
        <v>128</v>
      </c>
      <c r="C115" s="12"/>
      <c r="D115" s="15"/>
      <c r="E115" s="15">
        <f>$E$1* POW((1 -$H$1),A115)</f>
        <v>62758.84204</v>
      </c>
      <c r="F115" s="1" t="s">
        <v>132</v>
      </c>
      <c r="G115" s="8">
        <f>E115/G129</f>
        <v>0.9464889385</v>
      </c>
      <c r="H115" s="1" t="s">
        <v>133</v>
      </c>
      <c r="I115" s="6">
        <f>1-G115</f>
        <v>0.05351106154</v>
      </c>
      <c r="J115" s="12" t="s">
        <v>74</v>
      </c>
      <c r="M115" s="12" t="s">
        <v>78</v>
      </c>
      <c r="N115" s="12"/>
      <c r="O115" s="12"/>
      <c r="P115" s="12"/>
      <c r="Q115" s="12"/>
      <c r="R115" s="12"/>
    </row>
    <row r="116">
      <c r="A116" s="12"/>
      <c r="B116" s="77" t="s">
        <v>83</v>
      </c>
      <c r="C116" s="78" t="s">
        <v>88</v>
      </c>
      <c r="D116" s="44" t="s">
        <v>87</v>
      </c>
      <c r="E116" s="77" t="s">
        <v>140</v>
      </c>
      <c r="F116" s="77" t="s">
        <v>135</v>
      </c>
      <c r="G116" s="78" t="s">
        <v>89</v>
      </c>
      <c r="H116" s="78" t="s">
        <v>138</v>
      </c>
      <c r="I116" s="20" t="s">
        <v>139</v>
      </c>
      <c r="J116" s="78" t="s">
        <v>76</v>
      </c>
      <c r="K116" s="78" t="s">
        <v>82</v>
      </c>
      <c r="L116" s="78" t="s">
        <v>109</v>
      </c>
      <c r="M116" s="78" t="s">
        <v>80</v>
      </c>
      <c r="N116" s="78" t="s">
        <v>67</v>
      </c>
      <c r="O116" s="45" t="s">
        <v>114</v>
      </c>
      <c r="P116" s="79" t="s">
        <v>115</v>
      </c>
      <c r="Q116" s="79" t="s">
        <v>60</v>
      </c>
      <c r="R116" s="79" t="s">
        <v>109</v>
      </c>
    </row>
    <row r="117">
      <c r="A117" s="12"/>
      <c r="B117" s="80" t="s">
        <v>117</v>
      </c>
      <c r="C117" s="87">
        <v>31.0</v>
      </c>
      <c r="D117" s="86">
        <v>0.6479166666666667</v>
      </c>
      <c r="E117" s="88">
        <v>0.02731296772</v>
      </c>
      <c r="F117" s="89">
        <f t="shared" ref="F117:F128" si="71">$E$115*E117</f>
        <v>1714.130227</v>
      </c>
      <c r="G117" s="81">
        <v>5726.0</v>
      </c>
      <c r="H117" s="81">
        <f t="shared" ref="H117:H128" si="72">G117-F117</f>
        <v>4011.869773</v>
      </c>
      <c r="I117" s="25">
        <f t="shared" ref="I117:I128" si="73">D117*G117*(1+$I$115)</f>
        <v>3908.495311</v>
      </c>
      <c r="J117" s="64">
        <f>C117*'Rate Codes'!$D$7</f>
        <v>53.490035</v>
      </c>
      <c r="K117" s="25">
        <f>I117*'Rate Codes'!$D$8</f>
        <v>50.62673976</v>
      </c>
      <c r="L117" s="81">
        <f t="shared" ref="L117:L128" si="74">SUM(J117:K117)</f>
        <v>104.1167748</v>
      </c>
      <c r="M117" s="66">
        <f>I117*'Rate Codes'!$D$8</f>
        <v>50.62673976</v>
      </c>
      <c r="N117" s="67">
        <f>(H117)*'Billing Rate'!$B$1</f>
        <v>272.8071446</v>
      </c>
      <c r="O117" s="25">
        <f t="shared" ref="O117:O129" si="75">L117+M117</f>
        <v>154.7435145</v>
      </c>
      <c r="P117" s="81">
        <f t="shared" ref="P117:P128" si="76">N117+L117+M117</f>
        <v>427.5506591</v>
      </c>
      <c r="Q117" s="25">
        <f t="shared" ref="Q117:Q128" si="77">(IF(N117&gt;0,N117,0)+O117)*0.05</f>
        <v>21.37753295</v>
      </c>
      <c r="R117" s="81">
        <f t="shared" ref="R117:R128" si="78">P117+Q117</f>
        <v>448.9281921</v>
      </c>
    </row>
    <row r="118">
      <c r="A118" s="12"/>
      <c r="B118" s="80" t="s">
        <v>118</v>
      </c>
      <c r="C118" s="87">
        <v>28.0</v>
      </c>
      <c r="D118" s="86">
        <v>0.5868041666666667</v>
      </c>
      <c r="E118" s="88">
        <v>0.04620731865</v>
      </c>
      <c r="F118" s="89">
        <f t="shared" si="71"/>
        <v>2899.917812</v>
      </c>
      <c r="G118" s="81">
        <v>5279.0</v>
      </c>
      <c r="H118" s="81">
        <f t="shared" si="72"/>
        <v>2379.082188</v>
      </c>
      <c r="I118" s="25">
        <f t="shared" si="73"/>
        <v>3263.502509</v>
      </c>
      <c r="J118" s="64">
        <f>C118*'Rate Codes'!$D$7</f>
        <v>48.31358</v>
      </c>
      <c r="K118" s="25">
        <f>I118*'Rate Codes'!$D$8</f>
        <v>42.27214799</v>
      </c>
      <c r="L118" s="81">
        <f t="shared" si="74"/>
        <v>90.58572799</v>
      </c>
      <c r="M118" s="66">
        <f>I118*'Rate Codes'!$D$8</f>
        <v>42.27214799</v>
      </c>
      <c r="N118" s="67">
        <f>(H118)*'Billing Rate'!$B$1</f>
        <v>161.7775888</v>
      </c>
      <c r="O118" s="25">
        <f t="shared" si="75"/>
        <v>132.857876</v>
      </c>
      <c r="P118" s="81">
        <f t="shared" si="76"/>
        <v>294.6354647</v>
      </c>
      <c r="Q118" s="25">
        <f t="shared" si="77"/>
        <v>14.73177324</v>
      </c>
      <c r="R118" s="81">
        <f t="shared" si="78"/>
        <v>309.367238</v>
      </c>
    </row>
    <row r="119">
      <c r="A119" s="12"/>
      <c r="B119" s="80" t="s">
        <v>119</v>
      </c>
      <c r="C119" s="87">
        <v>31.0</v>
      </c>
      <c r="D119" s="86">
        <v>0.5083333333333333</v>
      </c>
      <c r="E119" s="88">
        <v>0.08500831624</v>
      </c>
      <c r="F119" s="89">
        <f t="shared" si="71"/>
        <v>5335.023491</v>
      </c>
      <c r="G119" s="81">
        <v>4991.0</v>
      </c>
      <c r="H119" s="81">
        <f t="shared" si="72"/>
        <v>-344.0234912</v>
      </c>
      <c r="I119" s="25">
        <f t="shared" si="73"/>
        <v>2672.854135</v>
      </c>
      <c r="J119" s="64">
        <f>C119*'Rate Codes'!$D$7</f>
        <v>53.490035</v>
      </c>
      <c r="K119" s="25">
        <f>I119*'Rate Codes'!$D$8</f>
        <v>34.62147961</v>
      </c>
      <c r="L119" s="81">
        <f t="shared" si="74"/>
        <v>88.11151461</v>
      </c>
      <c r="M119" s="66">
        <f>I119*'Rate Codes'!$D$8</f>
        <v>34.62147961</v>
      </c>
      <c r="N119" s="67">
        <f>(H119)*'Billing Rate'!$B$1</f>
        <v>-23.3935974</v>
      </c>
      <c r="O119" s="25">
        <f t="shared" si="75"/>
        <v>122.7329942</v>
      </c>
      <c r="P119" s="81">
        <f t="shared" si="76"/>
        <v>99.33939682</v>
      </c>
      <c r="Q119" s="25">
        <f t="shared" si="77"/>
        <v>6.136649711</v>
      </c>
      <c r="R119" s="81">
        <f t="shared" si="78"/>
        <v>105.4760465</v>
      </c>
    </row>
    <row r="120">
      <c r="A120" s="12"/>
      <c r="B120" s="80" t="s">
        <v>120</v>
      </c>
      <c r="C120" s="87">
        <v>30.0</v>
      </c>
      <c r="D120" s="86">
        <v>0.425</v>
      </c>
      <c r="E120" s="88">
        <v>0.108773175</v>
      </c>
      <c r="F120" s="89">
        <f t="shared" si="71"/>
        <v>6826.478508</v>
      </c>
      <c r="G120" s="81">
        <v>4952.0</v>
      </c>
      <c r="H120" s="81">
        <f t="shared" si="72"/>
        <v>-1874.478508</v>
      </c>
      <c r="I120" s="25">
        <f t="shared" si="73"/>
        <v>2217.21938</v>
      </c>
      <c r="J120" s="64">
        <f>C120*'Rate Codes'!$D$7</f>
        <v>51.76455</v>
      </c>
      <c r="K120" s="25">
        <f>I120*'Rate Codes'!$D$8</f>
        <v>28.71964263</v>
      </c>
      <c r="L120" s="81">
        <f t="shared" si="74"/>
        <v>80.48419263</v>
      </c>
      <c r="M120" s="66">
        <f>I120*'Rate Codes'!$D$8</f>
        <v>28.71964263</v>
      </c>
      <c r="N120" s="67">
        <f>(H120)*'Billing Rate'!$B$1</f>
        <v>-127.4645386</v>
      </c>
      <c r="O120" s="25">
        <f t="shared" si="75"/>
        <v>109.2038353</v>
      </c>
      <c r="P120" s="81">
        <f t="shared" si="76"/>
        <v>-18.2607033</v>
      </c>
      <c r="Q120" s="25">
        <f t="shared" si="77"/>
        <v>5.460191763</v>
      </c>
      <c r="R120" s="81">
        <f t="shared" si="78"/>
        <v>-12.80051154</v>
      </c>
    </row>
    <row r="121">
      <c r="A121" s="12"/>
      <c r="B121" s="80" t="s">
        <v>98</v>
      </c>
      <c r="C121" s="87">
        <v>31.0</v>
      </c>
      <c r="D121" s="86">
        <v>0.35277916666666664</v>
      </c>
      <c r="E121" s="88">
        <v>0.1281742617</v>
      </c>
      <c r="F121" s="89">
        <f t="shared" si="71"/>
        <v>8044.068244</v>
      </c>
      <c r="G121" s="81">
        <v>5559.0</v>
      </c>
      <c r="H121" s="81">
        <f t="shared" si="72"/>
        <v>-2485.068244</v>
      </c>
      <c r="I121" s="25">
        <f t="shared" si="73"/>
        <v>2066.039898</v>
      </c>
      <c r="J121" s="64">
        <f>C121*'Rate Codes'!$D$7</f>
        <v>53.490035</v>
      </c>
      <c r="K121" s="25">
        <f>I121*'Rate Codes'!$D$8</f>
        <v>26.76141479</v>
      </c>
      <c r="L121" s="81">
        <f t="shared" si="74"/>
        <v>80.25144979</v>
      </c>
      <c r="M121" s="66">
        <f>I121*'Rate Codes'!$D$8</f>
        <v>26.76141479</v>
      </c>
      <c r="N121" s="67">
        <f>(H121)*'Billing Rate'!$B$1</f>
        <v>-168.9846406</v>
      </c>
      <c r="O121" s="25">
        <f t="shared" si="75"/>
        <v>107.0128646</v>
      </c>
      <c r="P121" s="81">
        <f t="shared" si="76"/>
        <v>-61.971776</v>
      </c>
      <c r="Q121" s="25">
        <f t="shared" si="77"/>
        <v>5.350643229</v>
      </c>
      <c r="R121" s="81">
        <f t="shared" si="78"/>
        <v>-56.62113278</v>
      </c>
    </row>
    <row r="122">
      <c r="A122" s="12"/>
      <c r="B122" s="80" t="s">
        <v>121</v>
      </c>
      <c r="C122" s="87">
        <v>30.0</v>
      </c>
      <c r="D122" s="86">
        <v>0.31388750000000004</v>
      </c>
      <c r="E122" s="88">
        <v>0.1254860808</v>
      </c>
      <c r="F122" s="89">
        <f t="shared" si="71"/>
        <v>7875.361123</v>
      </c>
      <c r="G122" s="81">
        <v>4964.0</v>
      </c>
      <c r="H122" s="81">
        <f t="shared" si="72"/>
        <v>-2911.361123</v>
      </c>
      <c r="I122" s="25">
        <f t="shared" si="73"/>
        <v>1641.515144</v>
      </c>
      <c r="J122" s="64">
        <f>C122*'Rate Codes'!$D$7</f>
        <v>51.76455</v>
      </c>
      <c r="K122" s="25">
        <f>I122*'Rate Codes'!$D$8</f>
        <v>21.26254566</v>
      </c>
      <c r="L122" s="81">
        <f t="shared" si="74"/>
        <v>73.02709566</v>
      </c>
      <c r="M122" s="66">
        <f>I122*'Rate Codes'!$D$8</f>
        <v>21.26254566</v>
      </c>
      <c r="N122" s="67">
        <f>(H122)*'Billing Rate'!$B$1</f>
        <v>-197.9725564</v>
      </c>
      <c r="O122" s="25">
        <f t="shared" si="75"/>
        <v>94.28964133</v>
      </c>
      <c r="P122" s="81">
        <f t="shared" si="76"/>
        <v>-103.6829151</v>
      </c>
      <c r="Q122" s="25">
        <f t="shared" si="77"/>
        <v>4.714482066</v>
      </c>
      <c r="R122" s="81">
        <f t="shared" si="78"/>
        <v>-98.968433</v>
      </c>
    </row>
    <row r="123">
      <c r="A123" s="12"/>
      <c r="B123" s="80" t="s">
        <v>122</v>
      </c>
      <c r="C123" s="87">
        <v>31.0</v>
      </c>
      <c r="D123" s="86">
        <v>0.33125</v>
      </c>
      <c r="E123" s="88">
        <v>0.1449493112</v>
      </c>
      <c r="F123" s="89">
        <f t="shared" si="71"/>
        <v>9096.850926</v>
      </c>
      <c r="G123" s="81">
        <v>6634.0</v>
      </c>
      <c r="H123" s="81">
        <f t="shared" si="72"/>
        <v>-2462.850926</v>
      </c>
      <c r="I123" s="25">
        <f t="shared" si="73"/>
        <v>2315.103727</v>
      </c>
      <c r="J123" s="64">
        <f>C123*'Rate Codes'!$D$7</f>
        <v>53.490035</v>
      </c>
      <c r="K123" s="25">
        <f>I123*'Rate Codes'!$D$8</f>
        <v>29.98753857</v>
      </c>
      <c r="L123" s="81">
        <f t="shared" si="74"/>
        <v>83.47757357</v>
      </c>
      <c r="M123" s="66">
        <f>I123*'Rate Codes'!$D$8</f>
        <v>29.98753857</v>
      </c>
      <c r="N123" s="67">
        <f>(H123)*'Billing Rate'!$B$1</f>
        <v>-167.473863</v>
      </c>
      <c r="O123" s="25">
        <f t="shared" si="75"/>
        <v>113.4651121</v>
      </c>
      <c r="P123" s="81">
        <f t="shared" si="76"/>
        <v>-54.00875081</v>
      </c>
      <c r="Q123" s="25">
        <f t="shared" si="77"/>
        <v>5.673255607</v>
      </c>
      <c r="R123" s="81">
        <f t="shared" si="78"/>
        <v>-48.3354952</v>
      </c>
    </row>
    <row r="124">
      <c r="A124" s="12"/>
      <c r="B124" s="80" t="s">
        <v>123</v>
      </c>
      <c r="C124" s="87">
        <v>31.0</v>
      </c>
      <c r="D124" s="86">
        <v>0.3951375</v>
      </c>
      <c r="E124" s="88">
        <v>0.1246952409</v>
      </c>
      <c r="F124" s="89">
        <f t="shared" si="71"/>
        <v>7825.728927</v>
      </c>
      <c r="G124" s="81">
        <v>5909.0</v>
      </c>
      <c r="H124" s="81">
        <f t="shared" si="72"/>
        <v>-1916.728927</v>
      </c>
      <c r="I124" s="25">
        <f t="shared" si="73"/>
        <v>2459.808725</v>
      </c>
      <c r="J124" s="64">
        <f>C124*'Rate Codes'!$D$7</f>
        <v>53.490035</v>
      </c>
      <c r="K124" s="25">
        <f>I124*'Rate Codes'!$D$8</f>
        <v>31.86190242</v>
      </c>
      <c r="L124" s="81">
        <f t="shared" si="74"/>
        <v>85.35193742</v>
      </c>
      <c r="M124" s="66">
        <f>I124*'Rate Codes'!$D$8</f>
        <v>31.86190242</v>
      </c>
      <c r="N124" s="67">
        <f>(H124)*'Billing Rate'!$B$1</f>
        <v>-130.337567</v>
      </c>
      <c r="O124" s="25">
        <f t="shared" si="75"/>
        <v>117.2138398</v>
      </c>
      <c r="P124" s="81">
        <f t="shared" si="76"/>
        <v>-13.12372721</v>
      </c>
      <c r="Q124" s="25">
        <f t="shared" si="77"/>
        <v>5.860691992</v>
      </c>
      <c r="R124" s="81">
        <f t="shared" si="78"/>
        <v>-7.263035214</v>
      </c>
    </row>
    <row r="125">
      <c r="A125" s="12"/>
      <c r="B125" s="80" t="s">
        <v>124</v>
      </c>
      <c r="C125" s="87">
        <v>30.0</v>
      </c>
      <c r="D125" s="86">
        <v>0.4756958333333334</v>
      </c>
      <c r="E125" s="88">
        <v>0.09825803101</v>
      </c>
      <c r="F125" s="89">
        <f t="shared" si="71"/>
        <v>6166.560248</v>
      </c>
      <c r="G125" s="81">
        <v>5270.0</v>
      </c>
      <c r="H125" s="81">
        <f t="shared" si="72"/>
        <v>-896.5602476</v>
      </c>
      <c r="I125" s="25">
        <f t="shared" si="73"/>
        <v>2641.064834</v>
      </c>
      <c r="J125" s="64">
        <f>C125*'Rate Codes'!$D$7</f>
        <v>51.76455</v>
      </c>
      <c r="K125" s="25">
        <f>I125*'Rate Codes'!$D$8</f>
        <v>34.20971279</v>
      </c>
      <c r="L125" s="81">
        <f t="shared" si="74"/>
        <v>85.97426279</v>
      </c>
      <c r="M125" s="66">
        <f>I125*'Rate Codes'!$D$8</f>
        <v>34.20971279</v>
      </c>
      <c r="N125" s="67">
        <f>(H125)*'Billing Rate'!$B$1</f>
        <v>-60.96609684</v>
      </c>
      <c r="O125" s="25">
        <f t="shared" si="75"/>
        <v>120.1839756</v>
      </c>
      <c r="P125" s="81">
        <f t="shared" si="76"/>
        <v>59.21787875</v>
      </c>
      <c r="Q125" s="25">
        <f t="shared" si="77"/>
        <v>6.009198779</v>
      </c>
      <c r="R125" s="81">
        <f t="shared" si="78"/>
        <v>65.22707753</v>
      </c>
    </row>
    <row r="126">
      <c r="A126" s="12"/>
      <c r="B126" s="80" t="s">
        <v>125</v>
      </c>
      <c r="C126" s="87">
        <v>31.0</v>
      </c>
      <c r="D126" s="86">
        <v>0.5590291666666667</v>
      </c>
      <c r="E126" s="88">
        <v>0.06840443866</v>
      </c>
      <c r="F126" s="89">
        <f t="shared" si="71"/>
        <v>4292.983361</v>
      </c>
      <c r="G126" s="81">
        <v>5946.0</v>
      </c>
      <c r="H126" s="81">
        <f t="shared" si="72"/>
        <v>1653.016639</v>
      </c>
      <c r="I126" s="25">
        <f t="shared" si="73"/>
        <v>3501.857521</v>
      </c>
      <c r="J126" s="64">
        <f>C126*'Rate Codes'!$D$7</f>
        <v>53.490035</v>
      </c>
      <c r="K126" s="25">
        <f>I126*'Rate Codes'!$D$8</f>
        <v>45.35956046</v>
      </c>
      <c r="L126" s="81">
        <f t="shared" si="74"/>
        <v>98.84959546</v>
      </c>
      <c r="M126" s="66">
        <f>I126*'Rate Codes'!$D$8</f>
        <v>45.35956046</v>
      </c>
      <c r="N126" s="67">
        <f>(H126)*'Billing Rate'!$B$1</f>
        <v>112.4051315</v>
      </c>
      <c r="O126" s="25">
        <f t="shared" si="75"/>
        <v>144.2091559</v>
      </c>
      <c r="P126" s="81">
        <f t="shared" si="76"/>
        <v>256.6142874</v>
      </c>
      <c r="Q126" s="25">
        <f t="shared" si="77"/>
        <v>12.83071437</v>
      </c>
      <c r="R126" s="81">
        <f t="shared" si="78"/>
        <v>269.4450018</v>
      </c>
    </row>
    <row r="127">
      <c r="A127" s="12"/>
      <c r="B127" s="80" t="s">
        <v>126</v>
      </c>
      <c r="C127" s="87">
        <v>30.0</v>
      </c>
      <c r="D127" s="86">
        <v>0.63125</v>
      </c>
      <c r="E127" s="88">
        <v>0.0271408052</v>
      </c>
      <c r="F127" s="89">
        <f t="shared" si="71"/>
        <v>1703.325506</v>
      </c>
      <c r="G127" s="81">
        <v>5587.0</v>
      </c>
      <c r="H127" s="81">
        <f t="shared" si="72"/>
        <v>3883.674494</v>
      </c>
      <c r="I127" s="25">
        <f t="shared" si="73"/>
        <v>3715.516227</v>
      </c>
      <c r="J127" s="64">
        <f>C127*'Rate Codes'!$D$7</f>
        <v>51.76455</v>
      </c>
      <c r="K127" s="25">
        <f>I127*'Rate Codes'!$D$8</f>
        <v>48.12708169</v>
      </c>
      <c r="L127" s="81">
        <f t="shared" si="74"/>
        <v>99.89163169</v>
      </c>
      <c r="M127" s="66">
        <f>I127*'Rate Codes'!$D$8</f>
        <v>48.12708169</v>
      </c>
      <c r="N127" s="67">
        <f>(H127)*'Billing Rate'!$B$1</f>
        <v>264.0898656</v>
      </c>
      <c r="O127" s="25">
        <f t="shared" si="75"/>
        <v>148.0187134</v>
      </c>
      <c r="P127" s="81">
        <f t="shared" si="76"/>
        <v>412.1085789</v>
      </c>
      <c r="Q127" s="25">
        <f t="shared" si="77"/>
        <v>20.60542895</v>
      </c>
      <c r="R127" s="81">
        <f t="shared" si="78"/>
        <v>432.7140079</v>
      </c>
    </row>
    <row r="128">
      <c r="A128" s="12"/>
      <c r="B128" s="80" t="s">
        <v>127</v>
      </c>
      <c r="C128" s="87">
        <v>31.0</v>
      </c>
      <c r="D128" s="86">
        <v>0.6680541666666667</v>
      </c>
      <c r="E128" s="88">
        <v>0.01559005293</v>
      </c>
      <c r="F128" s="89">
        <f t="shared" si="71"/>
        <v>978.4136693</v>
      </c>
      <c r="G128" s="81">
        <v>5490.0</v>
      </c>
      <c r="H128" s="81">
        <f t="shared" si="72"/>
        <v>4511.586331</v>
      </c>
      <c r="I128" s="25">
        <f t="shared" si="73"/>
        <v>3863.875474</v>
      </c>
      <c r="J128" s="64">
        <f>C128*'Rate Codes'!$D$7</f>
        <v>53.490035</v>
      </c>
      <c r="K128" s="25">
        <f>I128*'Rate Codes'!$D$8</f>
        <v>50.04877902</v>
      </c>
      <c r="L128" s="81">
        <f t="shared" si="74"/>
        <v>103.538814</v>
      </c>
      <c r="M128" s="66">
        <f>I128*'Rate Codes'!$D$8</f>
        <v>50.04877902</v>
      </c>
      <c r="N128" s="67">
        <f>(H128)*'Billing Rate'!$B$1</f>
        <v>306.7878705</v>
      </c>
      <c r="O128" s="25">
        <f t="shared" si="75"/>
        <v>153.587593</v>
      </c>
      <c r="P128" s="81">
        <f t="shared" si="76"/>
        <v>460.3754635</v>
      </c>
      <c r="Q128" s="25">
        <f t="shared" si="77"/>
        <v>23.01877318</v>
      </c>
      <c r="R128" s="81">
        <f t="shared" si="78"/>
        <v>483.3942367</v>
      </c>
    </row>
    <row r="129">
      <c r="A129" s="12"/>
      <c r="B129" s="77" t="s">
        <v>109</v>
      </c>
      <c r="C129" s="82"/>
      <c r="D129" s="83"/>
      <c r="E129" s="83">
        <f t="shared" ref="E129:N129" si="79">SUM(E117:E128)</f>
        <v>1</v>
      </c>
      <c r="F129" s="84">
        <f t="shared" si="79"/>
        <v>62758.84204</v>
      </c>
      <c r="G129" s="85">
        <f t="shared" si="79"/>
        <v>66307</v>
      </c>
      <c r="H129" s="85">
        <f t="shared" si="79"/>
        <v>3548.157957</v>
      </c>
      <c r="I129" s="48">
        <f t="shared" si="79"/>
        <v>34266.85288</v>
      </c>
      <c r="J129" s="85">
        <f t="shared" si="79"/>
        <v>629.802025</v>
      </c>
      <c r="K129" s="85">
        <f t="shared" si="79"/>
        <v>443.8585454</v>
      </c>
      <c r="L129" s="85">
        <f t="shared" si="79"/>
        <v>1073.66057</v>
      </c>
      <c r="M129" s="85">
        <f t="shared" si="79"/>
        <v>443.8585454</v>
      </c>
      <c r="N129" s="85">
        <f t="shared" si="79"/>
        <v>241.2747411</v>
      </c>
      <c r="O129" s="48">
        <f t="shared" si="75"/>
        <v>1517.519116</v>
      </c>
      <c r="P129" s="85">
        <f t="shared" ref="P129:R129" si="80">SUM(P117:P128)</f>
        <v>1758.793857</v>
      </c>
      <c r="Q129" s="85">
        <f t="shared" si="80"/>
        <v>131.7693358</v>
      </c>
      <c r="R129" s="85">
        <f t="shared" si="80"/>
        <v>1890.563193</v>
      </c>
    </row>
    <row r="131">
      <c r="A131" s="76">
        <v>8.0</v>
      </c>
      <c r="B131" s="12" t="s">
        <v>128</v>
      </c>
      <c r="C131" s="12"/>
      <c r="D131" s="15"/>
      <c r="E131" s="15">
        <f>$E$1* POW((1 -$H$1),A131)</f>
        <v>62445.04783</v>
      </c>
      <c r="F131" s="1" t="s">
        <v>132</v>
      </c>
      <c r="G131" s="8">
        <f>E131/G145</f>
        <v>0.9417564938</v>
      </c>
      <c r="H131" s="1" t="s">
        <v>133</v>
      </c>
      <c r="I131" s="6">
        <f>1-G131</f>
        <v>0.05824350623</v>
      </c>
      <c r="J131" s="12" t="s">
        <v>74</v>
      </c>
      <c r="M131" s="12" t="s">
        <v>78</v>
      </c>
      <c r="N131" s="12"/>
      <c r="O131" s="12"/>
      <c r="P131" s="12"/>
      <c r="Q131" s="12"/>
      <c r="R131" s="12"/>
    </row>
    <row r="132">
      <c r="A132" s="12"/>
      <c r="B132" s="77" t="s">
        <v>83</v>
      </c>
      <c r="C132" s="78" t="s">
        <v>88</v>
      </c>
      <c r="D132" s="44" t="s">
        <v>87</v>
      </c>
      <c r="E132" s="77" t="s">
        <v>140</v>
      </c>
      <c r="F132" s="77" t="s">
        <v>135</v>
      </c>
      <c r="G132" s="78" t="s">
        <v>89</v>
      </c>
      <c r="H132" s="78" t="s">
        <v>138</v>
      </c>
      <c r="I132" s="20" t="s">
        <v>139</v>
      </c>
      <c r="J132" s="78" t="s">
        <v>76</v>
      </c>
      <c r="K132" s="78" t="s">
        <v>82</v>
      </c>
      <c r="L132" s="78" t="s">
        <v>109</v>
      </c>
      <c r="M132" s="78" t="s">
        <v>80</v>
      </c>
      <c r="N132" s="78" t="s">
        <v>67</v>
      </c>
      <c r="O132" s="45" t="s">
        <v>114</v>
      </c>
      <c r="P132" s="79" t="s">
        <v>115</v>
      </c>
      <c r="Q132" s="79" t="s">
        <v>60</v>
      </c>
      <c r="R132" s="79" t="s">
        <v>109</v>
      </c>
    </row>
    <row r="133">
      <c r="A133" s="12"/>
      <c r="B133" s="80" t="s">
        <v>117</v>
      </c>
      <c r="C133" s="87">
        <v>31.0</v>
      </c>
      <c r="D133" s="86">
        <v>0.6479166666666667</v>
      </c>
      <c r="E133" s="88">
        <v>0.02731296772</v>
      </c>
      <c r="F133" s="89">
        <f t="shared" ref="F133:F144" si="81">$E$131*E133</f>
        <v>1705.559576</v>
      </c>
      <c r="G133" s="81">
        <v>5726.0</v>
      </c>
      <c r="H133" s="81">
        <f t="shared" ref="H133:H144" si="82">G133-F133</f>
        <v>4020.440424</v>
      </c>
      <c r="I133" s="25">
        <f t="shared" ref="I133:I144" si="83">D133*G133*(1+$I$131)</f>
        <v>3926.052543</v>
      </c>
      <c r="J133" s="64">
        <f>C133*'Rate Codes'!$D$7</f>
        <v>53.490035</v>
      </c>
      <c r="K133" s="25">
        <f>I133*'Rate Codes'!$D$8</f>
        <v>50.85415859</v>
      </c>
      <c r="L133" s="81">
        <f t="shared" ref="L133:L144" si="84">SUM(J133:K133)</f>
        <v>104.3441936</v>
      </c>
      <c r="M133" s="66">
        <f>I133*'Rate Codes'!$D$8</f>
        <v>50.85415859</v>
      </c>
      <c r="N133" s="67">
        <f>(H133)*'Billing Rate'!$B$1</f>
        <v>273.3899489</v>
      </c>
      <c r="O133" s="25">
        <f t="shared" ref="O133:O145" si="85">L133+M133</f>
        <v>155.1983522</v>
      </c>
      <c r="P133" s="81">
        <f t="shared" ref="P133:P144" si="86">N133+L133+M133</f>
        <v>428.588301</v>
      </c>
      <c r="Q133" s="25">
        <f t="shared" ref="Q133:Q144" si="87">(IF(N133&gt;0,N133,0)+O133)*0.05</f>
        <v>21.42941505</v>
      </c>
      <c r="R133" s="81">
        <f t="shared" ref="R133:R144" si="88">P133+Q133</f>
        <v>450.0177161</v>
      </c>
    </row>
    <row r="134">
      <c r="A134" s="12"/>
      <c r="B134" s="80" t="s">
        <v>118</v>
      </c>
      <c r="C134" s="87">
        <v>28.0</v>
      </c>
      <c r="D134" s="86">
        <v>0.5868041666666667</v>
      </c>
      <c r="E134" s="88">
        <v>0.04620731865</v>
      </c>
      <c r="F134" s="89">
        <f t="shared" si="81"/>
        <v>2885.418223</v>
      </c>
      <c r="G134" s="81">
        <v>5279.0</v>
      </c>
      <c r="H134" s="81">
        <f t="shared" si="82"/>
        <v>2393.581777</v>
      </c>
      <c r="I134" s="25">
        <f t="shared" si="83"/>
        <v>3278.162388</v>
      </c>
      <c r="J134" s="64">
        <f>C134*'Rate Codes'!$D$7</f>
        <v>48.31358</v>
      </c>
      <c r="K134" s="25">
        <f>I134*'Rate Codes'!$D$8</f>
        <v>42.46203741</v>
      </c>
      <c r="L134" s="81">
        <f t="shared" si="84"/>
        <v>90.77561741</v>
      </c>
      <c r="M134" s="66">
        <f>I134*'Rate Codes'!$D$8</f>
        <v>42.46203741</v>
      </c>
      <c r="N134" s="67">
        <f>(H134)*'Billing Rate'!$B$1</f>
        <v>162.7635608</v>
      </c>
      <c r="O134" s="25">
        <f t="shared" si="85"/>
        <v>133.2376548</v>
      </c>
      <c r="P134" s="81">
        <f t="shared" si="86"/>
        <v>296.0012156</v>
      </c>
      <c r="Q134" s="25">
        <f t="shared" si="87"/>
        <v>14.80006078</v>
      </c>
      <c r="R134" s="81">
        <f t="shared" si="88"/>
        <v>310.8012764</v>
      </c>
    </row>
    <row r="135">
      <c r="A135" s="12"/>
      <c r="B135" s="80" t="s">
        <v>119</v>
      </c>
      <c r="C135" s="87">
        <v>31.0</v>
      </c>
      <c r="D135" s="86">
        <v>0.5083333333333333</v>
      </c>
      <c r="E135" s="88">
        <v>0.08500831624</v>
      </c>
      <c r="F135" s="89">
        <f t="shared" si="81"/>
        <v>5308.348374</v>
      </c>
      <c r="G135" s="81">
        <v>4991.0</v>
      </c>
      <c r="H135" s="81">
        <f t="shared" si="82"/>
        <v>-317.3483738</v>
      </c>
      <c r="I135" s="25">
        <f t="shared" si="83"/>
        <v>2684.860781</v>
      </c>
      <c r="J135" s="64">
        <f>C135*'Rate Codes'!$D$7</f>
        <v>53.490035</v>
      </c>
      <c r="K135" s="25">
        <f>I135*'Rate Codes'!$D$8</f>
        <v>34.7770017</v>
      </c>
      <c r="L135" s="81">
        <f t="shared" si="84"/>
        <v>88.2670367</v>
      </c>
      <c r="M135" s="66">
        <f>I135*'Rate Codes'!$D$8</f>
        <v>34.7770017</v>
      </c>
      <c r="N135" s="67">
        <f>(H135)*'Billing Rate'!$B$1</f>
        <v>-21.57968942</v>
      </c>
      <c r="O135" s="25">
        <f t="shared" si="85"/>
        <v>123.0440384</v>
      </c>
      <c r="P135" s="81">
        <f t="shared" si="86"/>
        <v>101.464349</v>
      </c>
      <c r="Q135" s="25">
        <f t="shared" si="87"/>
        <v>6.15220192</v>
      </c>
      <c r="R135" s="81">
        <f t="shared" si="88"/>
        <v>107.6165509</v>
      </c>
    </row>
    <row r="136">
      <c r="A136" s="12"/>
      <c r="B136" s="80" t="s">
        <v>120</v>
      </c>
      <c r="C136" s="87">
        <v>30.0</v>
      </c>
      <c r="D136" s="86">
        <v>0.425</v>
      </c>
      <c r="E136" s="88">
        <v>0.108773175</v>
      </c>
      <c r="F136" s="89">
        <f t="shared" si="81"/>
        <v>6792.346116</v>
      </c>
      <c r="G136" s="81">
        <v>4952.0</v>
      </c>
      <c r="H136" s="81">
        <f t="shared" si="82"/>
        <v>-1840.346116</v>
      </c>
      <c r="I136" s="25">
        <f t="shared" si="83"/>
        <v>2227.179283</v>
      </c>
      <c r="J136" s="64">
        <f>C136*'Rate Codes'!$D$7</f>
        <v>51.76455</v>
      </c>
      <c r="K136" s="25">
        <f>I136*'Rate Codes'!$D$8</f>
        <v>28.84865326</v>
      </c>
      <c r="L136" s="81">
        <f t="shared" si="84"/>
        <v>80.61320326</v>
      </c>
      <c r="M136" s="66">
        <f>I136*'Rate Codes'!$D$8</f>
        <v>28.84865326</v>
      </c>
      <c r="N136" s="67">
        <f>(H136)*'Billing Rate'!$B$1</f>
        <v>-125.1435359</v>
      </c>
      <c r="O136" s="25">
        <f t="shared" si="85"/>
        <v>109.4618565</v>
      </c>
      <c r="P136" s="81">
        <f t="shared" si="86"/>
        <v>-15.68167936</v>
      </c>
      <c r="Q136" s="25">
        <f t="shared" si="87"/>
        <v>5.473092826</v>
      </c>
      <c r="R136" s="81">
        <f t="shared" si="88"/>
        <v>-10.20858654</v>
      </c>
    </row>
    <row r="137">
      <c r="A137" s="12"/>
      <c r="B137" s="80" t="s">
        <v>98</v>
      </c>
      <c r="C137" s="87">
        <v>31.0</v>
      </c>
      <c r="D137" s="86">
        <v>0.35277916666666664</v>
      </c>
      <c r="E137" s="88">
        <v>0.1281742617</v>
      </c>
      <c r="F137" s="89">
        <f t="shared" si="81"/>
        <v>8003.847903</v>
      </c>
      <c r="G137" s="81">
        <v>5559.0</v>
      </c>
      <c r="H137" s="81">
        <f t="shared" si="82"/>
        <v>-2444.847903</v>
      </c>
      <c r="I137" s="25">
        <f t="shared" si="83"/>
        <v>2075.320692</v>
      </c>
      <c r="J137" s="64">
        <f>C137*'Rate Codes'!$D$7</f>
        <v>53.490035</v>
      </c>
      <c r="K137" s="25">
        <f>I137*'Rate Codes'!$D$8</f>
        <v>26.88162892</v>
      </c>
      <c r="L137" s="81">
        <f t="shared" si="84"/>
        <v>80.37166392</v>
      </c>
      <c r="M137" s="66">
        <f>I137*'Rate Codes'!$D$8</f>
        <v>26.88162892</v>
      </c>
      <c r="N137" s="67">
        <f>(H137)*'Billing Rate'!$B$1</f>
        <v>-166.2496574</v>
      </c>
      <c r="O137" s="25">
        <f t="shared" si="85"/>
        <v>107.2532928</v>
      </c>
      <c r="P137" s="81">
        <f t="shared" si="86"/>
        <v>-58.99636454</v>
      </c>
      <c r="Q137" s="25">
        <f t="shared" si="87"/>
        <v>5.362664642</v>
      </c>
      <c r="R137" s="81">
        <f t="shared" si="88"/>
        <v>-53.6336999</v>
      </c>
    </row>
    <row r="138">
      <c r="A138" s="12"/>
      <c r="B138" s="80" t="s">
        <v>121</v>
      </c>
      <c r="C138" s="87">
        <v>30.0</v>
      </c>
      <c r="D138" s="86">
        <v>0.31388750000000004</v>
      </c>
      <c r="E138" s="88">
        <v>0.1254860808</v>
      </c>
      <c r="F138" s="89">
        <f t="shared" si="81"/>
        <v>7835.984318</v>
      </c>
      <c r="G138" s="81">
        <v>4964.0</v>
      </c>
      <c r="H138" s="81">
        <f t="shared" si="82"/>
        <v>-2871.984318</v>
      </c>
      <c r="I138" s="25">
        <f t="shared" si="83"/>
        <v>1648.888944</v>
      </c>
      <c r="J138" s="64">
        <f>C138*'Rate Codes'!$D$7</f>
        <v>51.76455</v>
      </c>
      <c r="K138" s="25">
        <f>I138*'Rate Codes'!$D$8</f>
        <v>21.35805849</v>
      </c>
      <c r="L138" s="81">
        <f t="shared" si="84"/>
        <v>73.12260849</v>
      </c>
      <c r="M138" s="66">
        <f>I138*'Rate Codes'!$D$8</f>
        <v>21.35805849</v>
      </c>
      <c r="N138" s="67">
        <f>(H138)*'Billing Rate'!$B$1</f>
        <v>-195.2949336</v>
      </c>
      <c r="O138" s="25">
        <f t="shared" si="85"/>
        <v>94.48066699</v>
      </c>
      <c r="P138" s="81">
        <f t="shared" si="86"/>
        <v>-100.8142666</v>
      </c>
      <c r="Q138" s="25">
        <f t="shared" si="87"/>
        <v>4.724033349</v>
      </c>
      <c r="R138" s="81">
        <f t="shared" si="88"/>
        <v>-96.09023328</v>
      </c>
    </row>
    <row r="139">
      <c r="A139" s="12"/>
      <c r="B139" s="80" t="s">
        <v>122</v>
      </c>
      <c r="C139" s="87">
        <v>31.0</v>
      </c>
      <c r="D139" s="86">
        <v>0.33125</v>
      </c>
      <c r="E139" s="88">
        <v>0.1449493112</v>
      </c>
      <c r="F139" s="89">
        <f t="shared" si="81"/>
        <v>9051.366671</v>
      </c>
      <c r="G139" s="81">
        <v>6634.0</v>
      </c>
      <c r="H139" s="81">
        <f t="shared" si="82"/>
        <v>-2417.366671</v>
      </c>
      <c r="I139" s="25">
        <f t="shared" si="83"/>
        <v>2325.503333</v>
      </c>
      <c r="J139" s="64">
        <f>C139*'Rate Codes'!$D$7</f>
        <v>53.490035</v>
      </c>
      <c r="K139" s="25">
        <f>I139*'Rate Codes'!$D$8</f>
        <v>30.12224467</v>
      </c>
      <c r="L139" s="81">
        <f t="shared" si="84"/>
        <v>83.61227967</v>
      </c>
      <c r="M139" s="66">
        <f>I139*'Rate Codes'!$D$8</f>
        <v>30.12224467</v>
      </c>
      <c r="N139" s="67">
        <f>(H139)*'Billing Rate'!$B$1</f>
        <v>-164.3809336</v>
      </c>
      <c r="O139" s="25">
        <f t="shared" si="85"/>
        <v>113.7345243</v>
      </c>
      <c r="P139" s="81">
        <f t="shared" si="86"/>
        <v>-50.64640929</v>
      </c>
      <c r="Q139" s="25">
        <f t="shared" si="87"/>
        <v>5.686726217</v>
      </c>
      <c r="R139" s="81">
        <f t="shared" si="88"/>
        <v>-44.95968308</v>
      </c>
    </row>
    <row r="140">
      <c r="A140" s="12"/>
      <c r="B140" s="80" t="s">
        <v>123</v>
      </c>
      <c r="C140" s="87">
        <v>31.0</v>
      </c>
      <c r="D140" s="86">
        <v>0.3951375</v>
      </c>
      <c r="E140" s="88">
        <v>0.1246952409</v>
      </c>
      <c r="F140" s="89">
        <f t="shared" si="81"/>
        <v>7786.600282</v>
      </c>
      <c r="G140" s="81">
        <v>5909.0</v>
      </c>
      <c r="H140" s="81">
        <f t="shared" si="82"/>
        <v>-1877.600282</v>
      </c>
      <c r="I140" s="25">
        <f t="shared" si="83"/>
        <v>2470.858357</v>
      </c>
      <c r="J140" s="64">
        <f>C140*'Rate Codes'!$D$7</f>
        <v>53.490035</v>
      </c>
      <c r="K140" s="25">
        <f>I140*'Rate Codes'!$D$8</f>
        <v>32.00502829</v>
      </c>
      <c r="L140" s="81">
        <f t="shared" si="84"/>
        <v>85.49506329</v>
      </c>
      <c r="M140" s="66">
        <f>I140*'Rate Codes'!$D$8</f>
        <v>32.00502829</v>
      </c>
      <c r="N140" s="67">
        <f>(H140)*'Billing Rate'!$B$1</f>
        <v>-127.6768192</v>
      </c>
      <c r="O140" s="25">
        <f t="shared" si="85"/>
        <v>117.5000916</v>
      </c>
      <c r="P140" s="81">
        <f t="shared" si="86"/>
        <v>-10.17672762</v>
      </c>
      <c r="Q140" s="25">
        <f t="shared" si="87"/>
        <v>5.875004579</v>
      </c>
      <c r="R140" s="81">
        <f t="shared" si="88"/>
        <v>-4.301723044</v>
      </c>
    </row>
    <row r="141">
      <c r="A141" s="12"/>
      <c r="B141" s="80" t="s">
        <v>124</v>
      </c>
      <c r="C141" s="87">
        <v>30.0</v>
      </c>
      <c r="D141" s="86">
        <v>0.4756958333333334</v>
      </c>
      <c r="E141" s="88">
        <v>0.09825803101</v>
      </c>
      <c r="F141" s="89">
        <f t="shared" si="81"/>
        <v>6135.727446</v>
      </c>
      <c r="G141" s="81">
        <v>5270.0</v>
      </c>
      <c r="H141" s="81">
        <f t="shared" si="82"/>
        <v>-865.7274463</v>
      </c>
      <c r="I141" s="25">
        <f t="shared" si="83"/>
        <v>2652.92868</v>
      </c>
      <c r="J141" s="64">
        <f>C141*'Rate Codes'!$D$7</f>
        <v>51.76455</v>
      </c>
      <c r="K141" s="25">
        <f>I141*'Rate Codes'!$D$8</f>
        <v>34.36338519</v>
      </c>
      <c r="L141" s="81">
        <f t="shared" si="84"/>
        <v>86.12793519</v>
      </c>
      <c r="M141" s="66">
        <f>I141*'Rate Codes'!$D$8</f>
        <v>34.36338519</v>
      </c>
      <c r="N141" s="67">
        <f>(H141)*'Billing Rate'!$B$1</f>
        <v>-58.86946635</v>
      </c>
      <c r="O141" s="25">
        <f t="shared" si="85"/>
        <v>120.4913204</v>
      </c>
      <c r="P141" s="81">
        <f t="shared" si="86"/>
        <v>61.62185403</v>
      </c>
      <c r="Q141" s="25">
        <f t="shared" si="87"/>
        <v>6.024566019</v>
      </c>
      <c r="R141" s="81">
        <f t="shared" si="88"/>
        <v>67.64642005</v>
      </c>
    </row>
    <row r="142">
      <c r="A142" s="12"/>
      <c r="B142" s="80" t="s">
        <v>125</v>
      </c>
      <c r="C142" s="87">
        <v>31.0</v>
      </c>
      <c r="D142" s="86">
        <v>0.5590291666666667</v>
      </c>
      <c r="E142" s="88">
        <v>0.06840443866</v>
      </c>
      <c r="F142" s="89">
        <f t="shared" si="81"/>
        <v>4271.518444</v>
      </c>
      <c r="G142" s="81">
        <v>5946.0</v>
      </c>
      <c r="H142" s="81">
        <f t="shared" si="82"/>
        <v>1674.481556</v>
      </c>
      <c r="I142" s="25">
        <f t="shared" si="83"/>
        <v>3517.588107</v>
      </c>
      <c r="J142" s="64">
        <f>C142*'Rate Codes'!$D$7</f>
        <v>53.490035</v>
      </c>
      <c r="K142" s="25">
        <f>I142*'Rate Codes'!$D$8</f>
        <v>45.56331875</v>
      </c>
      <c r="L142" s="81">
        <f t="shared" si="84"/>
        <v>99.05335375</v>
      </c>
      <c r="M142" s="66">
        <f>I142*'Rate Codes'!$D$8</f>
        <v>45.56331875</v>
      </c>
      <c r="N142" s="67">
        <f>(H142)*'Billing Rate'!$B$1</f>
        <v>113.8647458</v>
      </c>
      <c r="O142" s="25">
        <f t="shared" si="85"/>
        <v>144.6166725</v>
      </c>
      <c r="P142" s="81">
        <f t="shared" si="86"/>
        <v>258.4814183</v>
      </c>
      <c r="Q142" s="25">
        <f t="shared" si="87"/>
        <v>12.92407092</v>
      </c>
      <c r="R142" s="81">
        <f t="shared" si="88"/>
        <v>271.4054892</v>
      </c>
    </row>
    <row r="143">
      <c r="A143" s="12"/>
      <c r="B143" s="80" t="s">
        <v>126</v>
      </c>
      <c r="C143" s="87">
        <v>30.0</v>
      </c>
      <c r="D143" s="86">
        <v>0.63125</v>
      </c>
      <c r="E143" s="88">
        <v>0.0271408052</v>
      </c>
      <c r="F143" s="89">
        <f t="shared" si="81"/>
        <v>1694.808879</v>
      </c>
      <c r="G143" s="81">
        <v>5587.0</v>
      </c>
      <c r="H143" s="81">
        <f t="shared" si="82"/>
        <v>3892.191121</v>
      </c>
      <c r="I143" s="25">
        <f t="shared" si="83"/>
        <v>3732.206584</v>
      </c>
      <c r="J143" s="64">
        <f>C143*'Rate Codes'!$D$7</f>
        <v>51.76455</v>
      </c>
      <c r="K143" s="25">
        <f>I143*'Rate Codes'!$D$8</f>
        <v>48.34327188</v>
      </c>
      <c r="L143" s="81">
        <f t="shared" si="84"/>
        <v>100.1078219</v>
      </c>
      <c r="M143" s="66">
        <f>I143*'Rate Codes'!$D$8</f>
        <v>48.34327188</v>
      </c>
      <c r="N143" s="67">
        <f>(H143)*'Billing Rate'!$B$1</f>
        <v>264.6689962</v>
      </c>
      <c r="O143" s="25">
        <f t="shared" si="85"/>
        <v>148.4510938</v>
      </c>
      <c r="P143" s="81">
        <f t="shared" si="86"/>
        <v>413.12009</v>
      </c>
      <c r="Q143" s="25">
        <f t="shared" si="87"/>
        <v>20.6560045</v>
      </c>
      <c r="R143" s="81">
        <f t="shared" si="88"/>
        <v>433.7760945</v>
      </c>
    </row>
    <row r="144">
      <c r="A144" s="12"/>
      <c r="B144" s="80" t="s">
        <v>127</v>
      </c>
      <c r="C144" s="87">
        <v>31.0</v>
      </c>
      <c r="D144" s="86">
        <v>0.6680541666666667</v>
      </c>
      <c r="E144" s="88">
        <v>0.01559005293</v>
      </c>
      <c r="F144" s="89">
        <f t="shared" si="81"/>
        <v>973.5216009</v>
      </c>
      <c r="G144" s="81">
        <v>5490.0</v>
      </c>
      <c r="H144" s="81">
        <f t="shared" si="82"/>
        <v>4516.478399</v>
      </c>
      <c r="I144" s="25">
        <f t="shared" si="83"/>
        <v>3881.23227</v>
      </c>
      <c r="J144" s="64">
        <f>C144*'Rate Codes'!$D$7</f>
        <v>53.490035</v>
      </c>
      <c r="K144" s="25">
        <f>I144*'Rate Codes'!$D$8</f>
        <v>50.2736016</v>
      </c>
      <c r="L144" s="81">
        <f t="shared" si="84"/>
        <v>103.7636366</v>
      </c>
      <c r="M144" s="66">
        <f>I144*'Rate Codes'!$D$8</f>
        <v>50.2736016</v>
      </c>
      <c r="N144" s="67">
        <f>(H144)*'Billing Rate'!$B$1</f>
        <v>307.1205311</v>
      </c>
      <c r="O144" s="25">
        <f t="shared" si="85"/>
        <v>154.0372382</v>
      </c>
      <c r="P144" s="81">
        <f t="shared" si="86"/>
        <v>461.1577693</v>
      </c>
      <c r="Q144" s="25">
        <f t="shared" si="87"/>
        <v>23.05788847</v>
      </c>
      <c r="R144" s="81">
        <f t="shared" si="88"/>
        <v>484.2156578</v>
      </c>
    </row>
    <row r="145">
      <c r="A145" s="12"/>
      <c r="B145" s="77" t="s">
        <v>109</v>
      </c>
      <c r="C145" s="82"/>
      <c r="D145" s="83"/>
      <c r="E145" s="83">
        <f t="shared" ref="E145:N145" si="89">SUM(E133:E144)</f>
        <v>1</v>
      </c>
      <c r="F145" s="84">
        <f t="shared" si="89"/>
        <v>62445.04783</v>
      </c>
      <c r="G145" s="85">
        <f t="shared" si="89"/>
        <v>66307</v>
      </c>
      <c r="H145" s="85">
        <f t="shared" si="89"/>
        <v>3861.952167</v>
      </c>
      <c r="I145" s="48">
        <f t="shared" si="89"/>
        <v>34420.78196</v>
      </c>
      <c r="J145" s="85">
        <f t="shared" si="89"/>
        <v>629.802025</v>
      </c>
      <c r="K145" s="85">
        <f t="shared" si="89"/>
        <v>445.8523888</v>
      </c>
      <c r="L145" s="85">
        <f t="shared" si="89"/>
        <v>1075.654414</v>
      </c>
      <c r="M145" s="85">
        <f t="shared" si="89"/>
        <v>445.8523888</v>
      </c>
      <c r="N145" s="85">
        <f t="shared" si="89"/>
        <v>262.6127474</v>
      </c>
      <c r="O145" s="48">
        <f t="shared" si="85"/>
        <v>1521.506803</v>
      </c>
      <c r="P145" s="85">
        <f t="shared" ref="P145:R145" si="90">SUM(P133:P144)</f>
        <v>1784.11955</v>
      </c>
      <c r="Q145" s="85">
        <f t="shared" si="90"/>
        <v>132.1657293</v>
      </c>
      <c r="R145" s="85">
        <f t="shared" si="90"/>
        <v>1916.285279</v>
      </c>
    </row>
    <row r="147">
      <c r="A147" s="76">
        <v>9.0</v>
      </c>
      <c r="B147" s="12" t="s">
        <v>128</v>
      </c>
      <c r="C147" s="12"/>
      <c r="D147" s="15"/>
      <c r="E147" s="15">
        <f>$E$1* POW((1 -$H$1),A147)</f>
        <v>62132.82259</v>
      </c>
      <c r="F147" s="1" t="s">
        <v>132</v>
      </c>
      <c r="G147" s="8">
        <f>E147/G161</f>
        <v>0.9370477113</v>
      </c>
      <c r="H147" s="1" t="s">
        <v>133</v>
      </c>
      <c r="I147" s="6">
        <f>1-G147</f>
        <v>0.0629522887</v>
      </c>
      <c r="J147" s="12" t="s">
        <v>74</v>
      </c>
      <c r="M147" s="12" t="s">
        <v>78</v>
      </c>
      <c r="N147" s="12"/>
      <c r="O147" s="12"/>
      <c r="P147" s="12"/>
      <c r="Q147" s="12"/>
      <c r="R147" s="12"/>
    </row>
    <row r="148">
      <c r="A148" s="12"/>
      <c r="B148" s="77" t="s">
        <v>83</v>
      </c>
      <c r="C148" s="78" t="s">
        <v>88</v>
      </c>
      <c r="D148" s="44" t="s">
        <v>87</v>
      </c>
      <c r="E148" s="77" t="s">
        <v>140</v>
      </c>
      <c r="F148" s="77" t="s">
        <v>135</v>
      </c>
      <c r="G148" s="78" t="s">
        <v>89</v>
      </c>
      <c r="H148" s="78" t="s">
        <v>138</v>
      </c>
      <c r="I148" s="20" t="s">
        <v>139</v>
      </c>
      <c r="J148" s="78" t="s">
        <v>76</v>
      </c>
      <c r="K148" s="78" t="s">
        <v>82</v>
      </c>
      <c r="L148" s="78" t="s">
        <v>109</v>
      </c>
      <c r="M148" s="78" t="s">
        <v>80</v>
      </c>
      <c r="N148" s="78" t="s">
        <v>67</v>
      </c>
      <c r="O148" s="45" t="s">
        <v>114</v>
      </c>
      <c r="P148" s="79" t="s">
        <v>115</v>
      </c>
      <c r="Q148" s="79" t="s">
        <v>60</v>
      </c>
      <c r="R148" s="79" t="s">
        <v>109</v>
      </c>
    </row>
    <row r="149">
      <c r="A149" s="12"/>
      <c r="B149" s="80" t="s">
        <v>117</v>
      </c>
      <c r="C149" s="87">
        <v>31.0</v>
      </c>
      <c r="D149" s="86">
        <v>0.6479166666666667</v>
      </c>
      <c r="E149" s="88">
        <v>0.02731296772</v>
      </c>
      <c r="F149" s="89">
        <f t="shared" ref="F149:F160" si="91">$E$147*E149</f>
        <v>1697.031778</v>
      </c>
      <c r="G149" s="81">
        <v>5726.0</v>
      </c>
      <c r="H149" s="81">
        <f t="shared" ref="H149:H160" si="92">G149-F149</f>
        <v>4028.968222</v>
      </c>
      <c r="I149" s="25">
        <f t="shared" ref="I149:I160" si="93">D149*G149*(1+$I$147)</f>
        <v>3943.521988</v>
      </c>
      <c r="J149" s="64">
        <f>C149*'Rate Codes'!$D$7</f>
        <v>53.490035</v>
      </c>
      <c r="K149" s="25">
        <f>I149*'Rate Codes'!$D$8</f>
        <v>51.08044031</v>
      </c>
      <c r="L149" s="81">
        <f t="shared" ref="L149:L160" si="94">SUM(J149:K149)</f>
        <v>104.5704753</v>
      </c>
      <c r="M149" s="66">
        <f>I149*'Rate Codes'!$D$8</f>
        <v>51.08044031</v>
      </c>
      <c r="N149" s="67">
        <f>(H149)*'Billing Rate'!$B$1</f>
        <v>273.9698391</v>
      </c>
      <c r="O149" s="25">
        <f t="shared" ref="O149:O161" si="95">L149+M149</f>
        <v>155.6509156</v>
      </c>
      <c r="P149" s="81">
        <f t="shared" ref="P149:P160" si="96">N149+L149+M149</f>
        <v>429.6207547</v>
      </c>
      <c r="Q149" s="25">
        <f t="shared" ref="Q149:Q160" si="97">(IF(N149&gt;0,N149,0)+O149)*0.05</f>
        <v>21.48103774</v>
      </c>
      <c r="R149" s="81">
        <f t="shared" ref="R149:R160" si="98">P149+Q149</f>
        <v>451.1017925</v>
      </c>
    </row>
    <row r="150">
      <c r="A150" s="12"/>
      <c r="B150" s="80" t="s">
        <v>118</v>
      </c>
      <c r="C150" s="87">
        <v>28.0</v>
      </c>
      <c r="D150" s="86">
        <v>0.5868041666666667</v>
      </c>
      <c r="E150" s="88">
        <v>0.04620731865</v>
      </c>
      <c r="F150" s="89">
        <f t="shared" si="91"/>
        <v>2870.991132</v>
      </c>
      <c r="G150" s="81">
        <v>5279.0</v>
      </c>
      <c r="H150" s="81">
        <f t="shared" si="92"/>
        <v>2408.008868</v>
      </c>
      <c r="I150" s="25">
        <f t="shared" si="93"/>
        <v>3292.748968</v>
      </c>
      <c r="J150" s="64">
        <f>C150*'Rate Codes'!$D$7</f>
        <v>48.31358</v>
      </c>
      <c r="K150" s="25">
        <f>I150*'Rate Codes'!$D$8</f>
        <v>42.65097738</v>
      </c>
      <c r="L150" s="81">
        <f t="shared" si="94"/>
        <v>90.96455738</v>
      </c>
      <c r="M150" s="66">
        <f>I150*'Rate Codes'!$D$8</f>
        <v>42.65097738</v>
      </c>
      <c r="N150" s="67">
        <f>(H150)*'Billing Rate'!$B$1</f>
        <v>163.744603</v>
      </c>
      <c r="O150" s="25">
        <f t="shared" si="95"/>
        <v>133.6155348</v>
      </c>
      <c r="P150" s="81">
        <f t="shared" si="96"/>
        <v>297.3601378</v>
      </c>
      <c r="Q150" s="25">
        <f t="shared" si="97"/>
        <v>14.86800689</v>
      </c>
      <c r="R150" s="81">
        <f t="shared" si="98"/>
        <v>312.2281447</v>
      </c>
    </row>
    <row r="151">
      <c r="A151" s="12"/>
      <c r="B151" s="80" t="s">
        <v>119</v>
      </c>
      <c r="C151" s="87">
        <v>31.0</v>
      </c>
      <c r="D151" s="86">
        <v>0.5083333333333333</v>
      </c>
      <c r="E151" s="88">
        <v>0.08500831624</v>
      </c>
      <c r="F151" s="89">
        <f t="shared" si="91"/>
        <v>5281.806632</v>
      </c>
      <c r="G151" s="81">
        <v>4991.0</v>
      </c>
      <c r="H151" s="81">
        <f t="shared" si="92"/>
        <v>-290.8066319</v>
      </c>
      <c r="I151" s="25">
        <f t="shared" si="93"/>
        <v>2696.807394</v>
      </c>
      <c r="J151" s="64">
        <f>C151*'Rate Codes'!$D$7</f>
        <v>53.490035</v>
      </c>
      <c r="K151" s="25">
        <f>I151*'Rate Codes'!$D$8</f>
        <v>34.93174617</v>
      </c>
      <c r="L151" s="81">
        <f t="shared" si="94"/>
        <v>88.42178117</v>
      </c>
      <c r="M151" s="66">
        <f>I151*'Rate Codes'!$D$8</f>
        <v>34.93174617</v>
      </c>
      <c r="N151" s="67">
        <f>(H151)*'Billing Rate'!$B$1</f>
        <v>-19.77485097</v>
      </c>
      <c r="O151" s="25">
        <f t="shared" si="95"/>
        <v>123.3535273</v>
      </c>
      <c r="P151" s="81">
        <f t="shared" si="96"/>
        <v>103.5786764</v>
      </c>
      <c r="Q151" s="25">
        <f t="shared" si="97"/>
        <v>6.167676367</v>
      </c>
      <c r="R151" s="81">
        <f t="shared" si="98"/>
        <v>109.7463527</v>
      </c>
    </row>
    <row r="152">
      <c r="A152" s="12"/>
      <c r="B152" s="80" t="s">
        <v>120</v>
      </c>
      <c r="C152" s="87">
        <v>30.0</v>
      </c>
      <c r="D152" s="86">
        <v>0.425</v>
      </c>
      <c r="E152" s="88">
        <v>0.108773175</v>
      </c>
      <c r="F152" s="89">
        <f t="shared" si="91"/>
        <v>6758.384385</v>
      </c>
      <c r="G152" s="81">
        <v>4952.0</v>
      </c>
      <c r="H152" s="81">
        <f t="shared" si="92"/>
        <v>-1806.384385</v>
      </c>
      <c r="I152" s="25">
        <f t="shared" si="93"/>
        <v>2237.089387</v>
      </c>
      <c r="J152" s="64">
        <f>C152*'Rate Codes'!$D$7</f>
        <v>51.76455</v>
      </c>
      <c r="K152" s="25">
        <f>I152*'Rate Codes'!$D$8</f>
        <v>28.97701883</v>
      </c>
      <c r="L152" s="81">
        <f t="shared" si="94"/>
        <v>80.74156883</v>
      </c>
      <c r="M152" s="66">
        <f>I152*'Rate Codes'!$D$8</f>
        <v>28.97701883</v>
      </c>
      <c r="N152" s="67">
        <f>(H152)*'Billing Rate'!$B$1</f>
        <v>-122.8341382</v>
      </c>
      <c r="O152" s="25">
        <f t="shared" si="95"/>
        <v>109.7185877</v>
      </c>
      <c r="P152" s="81">
        <f t="shared" si="96"/>
        <v>-13.11555054</v>
      </c>
      <c r="Q152" s="25">
        <f t="shared" si="97"/>
        <v>5.485929383</v>
      </c>
      <c r="R152" s="81">
        <f t="shared" si="98"/>
        <v>-7.629621155</v>
      </c>
    </row>
    <row r="153">
      <c r="A153" s="12"/>
      <c r="B153" s="80" t="s">
        <v>98</v>
      </c>
      <c r="C153" s="87">
        <v>31.0</v>
      </c>
      <c r="D153" s="86">
        <v>0.35277916666666664</v>
      </c>
      <c r="E153" s="88">
        <v>0.1281742617</v>
      </c>
      <c r="F153" s="89">
        <f t="shared" si="91"/>
        <v>7963.828663</v>
      </c>
      <c r="G153" s="81">
        <v>5559.0</v>
      </c>
      <c r="H153" s="81">
        <f t="shared" si="92"/>
        <v>-2404.828663</v>
      </c>
      <c r="I153" s="25">
        <f t="shared" si="93"/>
        <v>2084.555082</v>
      </c>
      <c r="J153" s="64">
        <f>C153*'Rate Codes'!$D$7</f>
        <v>53.490035</v>
      </c>
      <c r="K153" s="25">
        <f>I153*'Rate Codes'!$D$8</f>
        <v>27.00124198</v>
      </c>
      <c r="L153" s="81">
        <f t="shared" si="94"/>
        <v>80.49127698</v>
      </c>
      <c r="M153" s="66">
        <f>I153*'Rate Codes'!$D$8</f>
        <v>27.00124198</v>
      </c>
      <c r="N153" s="67">
        <f>(H153)*'Billing Rate'!$B$1</f>
        <v>-163.5283491</v>
      </c>
      <c r="O153" s="25">
        <f t="shared" si="95"/>
        <v>107.492519</v>
      </c>
      <c r="P153" s="81">
        <f t="shared" si="96"/>
        <v>-56.03583014</v>
      </c>
      <c r="Q153" s="25">
        <f t="shared" si="97"/>
        <v>5.374625948</v>
      </c>
      <c r="R153" s="81">
        <f t="shared" si="98"/>
        <v>-50.66120419</v>
      </c>
    </row>
    <row r="154">
      <c r="A154" s="12"/>
      <c r="B154" s="80" t="s">
        <v>121</v>
      </c>
      <c r="C154" s="87">
        <v>30.0</v>
      </c>
      <c r="D154" s="86">
        <v>0.31388750000000004</v>
      </c>
      <c r="E154" s="88">
        <v>0.1254860808</v>
      </c>
      <c r="F154" s="89">
        <f t="shared" si="91"/>
        <v>7796.804396</v>
      </c>
      <c r="G154" s="81">
        <v>4964.0</v>
      </c>
      <c r="H154" s="81">
        <f t="shared" si="92"/>
        <v>-2832.804396</v>
      </c>
      <c r="I154" s="25">
        <f t="shared" si="93"/>
        <v>1656.225875</v>
      </c>
      <c r="J154" s="64">
        <f>C154*'Rate Codes'!$D$7</f>
        <v>51.76455</v>
      </c>
      <c r="K154" s="25">
        <f>I154*'Rate Codes'!$D$8</f>
        <v>21.45309376</v>
      </c>
      <c r="L154" s="81">
        <f t="shared" si="94"/>
        <v>73.21764376</v>
      </c>
      <c r="M154" s="66">
        <f>I154*'Rate Codes'!$D$8</f>
        <v>21.45309376</v>
      </c>
      <c r="N154" s="67">
        <f>(H154)*'Billing Rate'!$B$1</f>
        <v>-192.6306989</v>
      </c>
      <c r="O154" s="25">
        <f t="shared" si="95"/>
        <v>94.67073751</v>
      </c>
      <c r="P154" s="81">
        <f t="shared" si="96"/>
        <v>-97.95996143</v>
      </c>
      <c r="Q154" s="25">
        <f t="shared" si="97"/>
        <v>4.733536876</v>
      </c>
      <c r="R154" s="81">
        <f t="shared" si="98"/>
        <v>-93.22642456</v>
      </c>
    </row>
    <row r="155">
      <c r="A155" s="12"/>
      <c r="B155" s="80" t="s">
        <v>122</v>
      </c>
      <c r="C155" s="87">
        <v>31.0</v>
      </c>
      <c r="D155" s="86">
        <v>0.33125</v>
      </c>
      <c r="E155" s="88">
        <v>0.1449493112</v>
      </c>
      <c r="F155" s="89">
        <f t="shared" si="91"/>
        <v>9006.109838</v>
      </c>
      <c r="G155" s="81">
        <v>6634.0</v>
      </c>
      <c r="H155" s="81">
        <f t="shared" si="92"/>
        <v>-2372.109838</v>
      </c>
      <c r="I155" s="25">
        <f t="shared" si="93"/>
        <v>2335.850941</v>
      </c>
      <c r="J155" s="64">
        <f>C155*'Rate Codes'!$D$7</f>
        <v>53.490035</v>
      </c>
      <c r="K155" s="25">
        <f>I155*'Rate Codes'!$D$8</f>
        <v>30.25627724</v>
      </c>
      <c r="L155" s="81">
        <f t="shared" si="94"/>
        <v>83.74631224</v>
      </c>
      <c r="M155" s="66">
        <f>I155*'Rate Codes'!$D$8</f>
        <v>30.25627724</v>
      </c>
      <c r="N155" s="67">
        <f>(H155)*'Billing Rate'!$B$1</f>
        <v>-161.303469</v>
      </c>
      <c r="O155" s="25">
        <f t="shared" si="95"/>
        <v>114.0025895</v>
      </c>
      <c r="P155" s="81">
        <f t="shared" si="96"/>
        <v>-47.30087948</v>
      </c>
      <c r="Q155" s="25">
        <f t="shared" si="97"/>
        <v>5.700129474</v>
      </c>
      <c r="R155" s="81">
        <f t="shared" si="98"/>
        <v>-41.60075001</v>
      </c>
    </row>
    <row r="156">
      <c r="A156" s="12"/>
      <c r="B156" s="80" t="s">
        <v>123</v>
      </c>
      <c r="C156" s="87">
        <v>31.0</v>
      </c>
      <c r="D156" s="86">
        <v>0.3951375</v>
      </c>
      <c r="E156" s="88">
        <v>0.1246952409</v>
      </c>
      <c r="F156" s="89">
        <f t="shared" si="91"/>
        <v>7747.667281</v>
      </c>
      <c r="G156" s="81">
        <v>5909.0</v>
      </c>
      <c r="H156" s="81">
        <f t="shared" si="92"/>
        <v>-1838.667281</v>
      </c>
      <c r="I156" s="25">
        <f t="shared" si="93"/>
        <v>2481.85274</v>
      </c>
      <c r="J156" s="64">
        <f>C156*'Rate Codes'!$D$7</f>
        <v>53.490035</v>
      </c>
      <c r="K156" s="25">
        <f>I156*'Rate Codes'!$D$8</f>
        <v>32.14743854</v>
      </c>
      <c r="L156" s="81">
        <f t="shared" si="94"/>
        <v>85.63747354</v>
      </c>
      <c r="M156" s="66">
        <f>I156*'Rate Codes'!$D$8</f>
        <v>32.14743854</v>
      </c>
      <c r="N156" s="67">
        <f>(H156)*'Billing Rate'!$B$1</f>
        <v>-125.0293751</v>
      </c>
      <c r="O156" s="25">
        <f t="shared" si="95"/>
        <v>117.7849121</v>
      </c>
      <c r="P156" s="81">
        <f t="shared" si="96"/>
        <v>-7.244463039</v>
      </c>
      <c r="Q156" s="25">
        <f t="shared" si="97"/>
        <v>5.889245604</v>
      </c>
      <c r="R156" s="81">
        <f t="shared" si="98"/>
        <v>-1.355217435</v>
      </c>
    </row>
    <row r="157">
      <c r="A157" s="12"/>
      <c r="B157" s="80" t="s">
        <v>124</v>
      </c>
      <c r="C157" s="87">
        <v>30.0</v>
      </c>
      <c r="D157" s="86">
        <v>0.4756958333333334</v>
      </c>
      <c r="E157" s="88">
        <v>0.09825803101</v>
      </c>
      <c r="F157" s="89">
        <f t="shared" si="91"/>
        <v>6105.048809</v>
      </c>
      <c r="G157" s="81">
        <v>5270.0</v>
      </c>
      <c r="H157" s="81">
        <f t="shared" si="92"/>
        <v>-835.0488091</v>
      </c>
      <c r="I157" s="25">
        <f t="shared" si="93"/>
        <v>2664.733207</v>
      </c>
      <c r="J157" s="64">
        <f>C157*'Rate Codes'!$D$7</f>
        <v>51.76455</v>
      </c>
      <c r="K157" s="25">
        <f>I157*'Rate Codes'!$D$8</f>
        <v>34.51628923</v>
      </c>
      <c r="L157" s="81">
        <f t="shared" si="94"/>
        <v>86.28083923</v>
      </c>
      <c r="M157" s="66">
        <f>I157*'Rate Codes'!$D$8</f>
        <v>34.51628923</v>
      </c>
      <c r="N157" s="67">
        <f>(H157)*'Billing Rate'!$B$1</f>
        <v>-56.78331902</v>
      </c>
      <c r="O157" s="25">
        <f t="shared" si="95"/>
        <v>120.7971285</v>
      </c>
      <c r="P157" s="81">
        <f t="shared" si="96"/>
        <v>64.01380944</v>
      </c>
      <c r="Q157" s="25">
        <f t="shared" si="97"/>
        <v>6.039856423</v>
      </c>
      <c r="R157" s="81">
        <f t="shared" si="98"/>
        <v>70.05366586</v>
      </c>
    </row>
    <row r="158">
      <c r="A158" s="12"/>
      <c r="B158" s="80" t="s">
        <v>125</v>
      </c>
      <c r="C158" s="87">
        <v>31.0</v>
      </c>
      <c r="D158" s="86">
        <v>0.5590291666666667</v>
      </c>
      <c r="E158" s="88">
        <v>0.06840443866</v>
      </c>
      <c r="F158" s="89">
        <f t="shared" si="91"/>
        <v>4250.160852</v>
      </c>
      <c r="G158" s="81">
        <v>5946.0</v>
      </c>
      <c r="H158" s="81">
        <f t="shared" si="92"/>
        <v>1695.839148</v>
      </c>
      <c r="I158" s="25">
        <f t="shared" si="93"/>
        <v>3533.240041</v>
      </c>
      <c r="J158" s="64">
        <f>C158*'Rate Codes'!$D$7</f>
        <v>53.490035</v>
      </c>
      <c r="K158" s="25">
        <f>I158*'Rate Codes'!$D$8</f>
        <v>45.76605825</v>
      </c>
      <c r="L158" s="81">
        <f t="shared" si="94"/>
        <v>99.25609325</v>
      </c>
      <c r="M158" s="66">
        <f>I158*'Rate Codes'!$D$8</f>
        <v>45.76605825</v>
      </c>
      <c r="N158" s="67">
        <f>(H158)*'Billing Rate'!$B$1</f>
        <v>115.3170621</v>
      </c>
      <c r="O158" s="25">
        <f t="shared" si="95"/>
        <v>145.0221515</v>
      </c>
      <c r="P158" s="81">
        <f t="shared" si="96"/>
        <v>260.3392136</v>
      </c>
      <c r="Q158" s="25">
        <f t="shared" si="97"/>
        <v>13.01696068</v>
      </c>
      <c r="R158" s="81">
        <f t="shared" si="98"/>
        <v>273.3561743</v>
      </c>
    </row>
    <row r="159">
      <c r="A159" s="12"/>
      <c r="B159" s="80" t="s">
        <v>126</v>
      </c>
      <c r="C159" s="87">
        <v>30.0</v>
      </c>
      <c r="D159" s="86">
        <v>0.63125</v>
      </c>
      <c r="E159" s="88">
        <v>0.0271408052</v>
      </c>
      <c r="F159" s="89">
        <f t="shared" si="91"/>
        <v>1686.334835</v>
      </c>
      <c r="G159" s="81">
        <v>5587.0</v>
      </c>
      <c r="H159" s="81">
        <f t="shared" si="92"/>
        <v>3900.665165</v>
      </c>
      <c r="I159" s="25">
        <f t="shared" si="93"/>
        <v>3748.813488</v>
      </c>
      <c r="J159" s="64">
        <f>C159*'Rate Codes'!$D$7</f>
        <v>51.76455</v>
      </c>
      <c r="K159" s="25">
        <f>I159*'Rate Codes'!$D$8</f>
        <v>48.55838111</v>
      </c>
      <c r="L159" s="81">
        <f t="shared" si="94"/>
        <v>100.3229311</v>
      </c>
      <c r="M159" s="66">
        <f>I159*'Rate Codes'!$D$8</f>
        <v>48.55838111</v>
      </c>
      <c r="N159" s="67">
        <f>(H159)*'Billing Rate'!$B$1</f>
        <v>265.2452313</v>
      </c>
      <c r="O159" s="25">
        <f t="shared" si="95"/>
        <v>148.8813122</v>
      </c>
      <c r="P159" s="81">
        <f t="shared" si="96"/>
        <v>414.1265435</v>
      </c>
      <c r="Q159" s="25">
        <f t="shared" si="97"/>
        <v>20.70632717</v>
      </c>
      <c r="R159" s="81">
        <f t="shared" si="98"/>
        <v>434.8328707</v>
      </c>
    </row>
    <row r="160">
      <c r="A160" s="12"/>
      <c r="B160" s="80" t="s">
        <v>127</v>
      </c>
      <c r="C160" s="87">
        <v>31.0</v>
      </c>
      <c r="D160" s="86">
        <v>0.6680541666666667</v>
      </c>
      <c r="E160" s="88">
        <v>0.01559005293</v>
      </c>
      <c r="F160" s="89">
        <f t="shared" si="91"/>
        <v>968.6539929</v>
      </c>
      <c r="G160" s="81">
        <v>5490.0</v>
      </c>
      <c r="H160" s="81">
        <f t="shared" si="92"/>
        <v>4521.346007</v>
      </c>
      <c r="I160" s="25">
        <f t="shared" si="93"/>
        <v>3898.502283</v>
      </c>
      <c r="J160" s="64">
        <f>C160*'Rate Codes'!$D$7</f>
        <v>53.490035</v>
      </c>
      <c r="K160" s="25">
        <f>I160*'Rate Codes'!$D$8</f>
        <v>50.49730007</v>
      </c>
      <c r="L160" s="81">
        <f t="shared" si="94"/>
        <v>103.9873351</v>
      </c>
      <c r="M160" s="66">
        <f>I160*'Rate Codes'!$D$8</f>
        <v>50.49730007</v>
      </c>
      <c r="N160" s="67">
        <f>(H160)*'Billing Rate'!$B$1</f>
        <v>307.4515285</v>
      </c>
      <c r="O160" s="25">
        <f t="shared" si="95"/>
        <v>154.4846351</v>
      </c>
      <c r="P160" s="81">
        <f t="shared" si="96"/>
        <v>461.9361636</v>
      </c>
      <c r="Q160" s="25">
        <f t="shared" si="97"/>
        <v>23.09680818</v>
      </c>
      <c r="R160" s="81">
        <f t="shared" si="98"/>
        <v>485.0329718</v>
      </c>
    </row>
    <row r="161">
      <c r="A161" s="12"/>
      <c r="B161" s="77" t="s">
        <v>109</v>
      </c>
      <c r="C161" s="82"/>
      <c r="D161" s="83"/>
      <c r="E161" s="83">
        <f t="shared" ref="E161:N161" si="99">SUM(E149:E160)</f>
        <v>1</v>
      </c>
      <c r="F161" s="84">
        <f t="shared" si="99"/>
        <v>62132.82259</v>
      </c>
      <c r="G161" s="85">
        <f t="shared" si="99"/>
        <v>66307</v>
      </c>
      <c r="H161" s="85">
        <f t="shared" si="99"/>
        <v>4174.177406</v>
      </c>
      <c r="I161" s="48">
        <f t="shared" si="99"/>
        <v>34573.94139</v>
      </c>
      <c r="J161" s="85">
        <f t="shared" si="99"/>
        <v>629.802025</v>
      </c>
      <c r="K161" s="85">
        <f t="shared" si="99"/>
        <v>447.8362629</v>
      </c>
      <c r="L161" s="85">
        <f t="shared" si="99"/>
        <v>1077.638288</v>
      </c>
      <c r="M161" s="85">
        <f t="shared" si="99"/>
        <v>447.8362629</v>
      </c>
      <c r="N161" s="85">
        <f t="shared" si="99"/>
        <v>283.8440636</v>
      </c>
      <c r="O161" s="48">
        <f t="shared" si="95"/>
        <v>1525.474551</v>
      </c>
      <c r="P161" s="85">
        <f t="shared" ref="P161:R161" si="100">SUM(P149:P160)</f>
        <v>1809.318614</v>
      </c>
      <c r="Q161" s="85">
        <f t="shared" si="100"/>
        <v>132.5601407</v>
      </c>
      <c r="R161" s="85">
        <f t="shared" si="100"/>
        <v>1941.878755</v>
      </c>
    </row>
    <row r="163">
      <c r="A163" s="76">
        <v>10.0</v>
      </c>
      <c r="B163" s="12" t="s">
        <v>128</v>
      </c>
      <c r="C163" s="12"/>
      <c r="D163" s="15"/>
      <c r="E163" s="15">
        <f>$E$1* POW((1 -$H$1),A163)</f>
        <v>61822.15848</v>
      </c>
      <c r="F163" s="1" t="s">
        <v>132</v>
      </c>
      <c r="G163" s="8">
        <f>E163/G177</f>
        <v>0.9323624727</v>
      </c>
      <c r="H163" s="1" t="s">
        <v>133</v>
      </c>
      <c r="I163" s="6">
        <f>1-G163</f>
        <v>0.06763752726</v>
      </c>
      <c r="J163" s="12" t="s">
        <v>74</v>
      </c>
      <c r="M163" s="12" t="s">
        <v>78</v>
      </c>
      <c r="N163" s="12"/>
      <c r="O163" s="12"/>
      <c r="P163" s="12"/>
      <c r="Q163" s="12"/>
      <c r="R163" s="12"/>
    </row>
    <row r="164">
      <c r="A164" s="12"/>
      <c r="B164" s="77" t="s">
        <v>83</v>
      </c>
      <c r="C164" s="78" t="s">
        <v>88</v>
      </c>
      <c r="D164" s="44" t="s">
        <v>87</v>
      </c>
      <c r="E164" s="77" t="s">
        <v>140</v>
      </c>
      <c r="F164" s="77" t="s">
        <v>135</v>
      </c>
      <c r="G164" s="78" t="s">
        <v>89</v>
      </c>
      <c r="H164" s="78" t="s">
        <v>138</v>
      </c>
      <c r="I164" s="20" t="s">
        <v>139</v>
      </c>
      <c r="J164" s="78" t="s">
        <v>76</v>
      </c>
      <c r="K164" s="78" t="s">
        <v>82</v>
      </c>
      <c r="L164" s="78" t="s">
        <v>109</v>
      </c>
      <c r="M164" s="78" t="s">
        <v>80</v>
      </c>
      <c r="N164" s="78" t="s">
        <v>67</v>
      </c>
      <c r="O164" s="45" t="s">
        <v>114</v>
      </c>
      <c r="P164" s="79" t="s">
        <v>115</v>
      </c>
      <c r="Q164" s="79" t="s">
        <v>60</v>
      </c>
      <c r="R164" s="79" t="s">
        <v>109</v>
      </c>
    </row>
    <row r="165">
      <c r="A165" s="12"/>
      <c r="B165" s="80" t="s">
        <v>117</v>
      </c>
      <c r="C165" s="87">
        <v>31.0</v>
      </c>
      <c r="D165" s="86">
        <v>0.6479166666666667</v>
      </c>
      <c r="E165" s="88">
        <v>0.02731296772</v>
      </c>
      <c r="F165" s="89">
        <f t="shared" ref="F165:F176" si="101">$E$163*E165</f>
        <v>1688.546619</v>
      </c>
      <c r="G165" s="81">
        <v>5726.0</v>
      </c>
      <c r="H165" s="81">
        <f t="shared" ref="H165:H176" si="102">G165-F165</f>
        <v>4037.453381</v>
      </c>
      <c r="I165" s="25">
        <f t="shared" ref="I165:I176" si="103">D165*G165*(1+$I$163)</f>
        <v>3960.904087</v>
      </c>
      <c r="J165" s="64">
        <f>C165*'Rate Codes'!$D$7</f>
        <v>53.490035</v>
      </c>
      <c r="K165" s="25">
        <f>I165*'Rate Codes'!$D$8</f>
        <v>51.30559063</v>
      </c>
      <c r="L165" s="81">
        <f t="shared" ref="L165:L176" si="104">SUM(J165:K165)</f>
        <v>104.7956256</v>
      </c>
      <c r="M165" s="66">
        <f>I165*'Rate Codes'!$D$8</f>
        <v>51.30559063</v>
      </c>
      <c r="N165" s="67">
        <f>(H165)*'Billing Rate'!$B$1</f>
        <v>274.5468299</v>
      </c>
      <c r="O165" s="25">
        <f t="shared" ref="O165:O177" si="105">L165+M165</f>
        <v>156.1012163</v>
      </c>
      <c r="P165" s="81">
        <f t="shared" ref="P165:P176" si="106">N165+L165+M165</f>
        <v>430.6480462</v>
      </c>
      <c r="Q165" s="25">
        <f t="shared" ref="Q165:Q176" si="107">(IF(N165&gt;0,N165,0)+O165)*0.05</f>
        <v>21.53240231</v>
      </c>
      <c r="R165" s="81">
        <f t="shared" ref="R165:R176" si="108">P165+Q165</f>
        <v>452.1804485</v>
      </c>
    </row>
    <row r="166">
      <c r="A166" s="12"/>
      <c r="B166" s="80" t="s">
        <v>118</v>
      </c>
      <c r="C166" s="87">
        <v>28.0</v>
      </c>
      <c r="D166" s="86">
        <v>0.5868041666666667</v>
      </c>
      <c r="E166" s="88">
        <v>0.04620731865</v>
      </c>
      <c r="F166" s="89">
        <f t="shared" si="101"/>
        <v>2856.636177</v>
      </c>
      <c r="G166" s="81">
        <v>5279.0</v>
      </c>
      <c r="H166" s="81">
        <f t="shared" si="102"/>
        <v>2422.363823</v>
      </c>
      <c r="I166" s="25">
        <f t="shared" si="103"/>
        <v>3307.262615</v>
      </c>
      <c r="J166" s="64">
        <f>C166*'Rate Codes'!$D$7</f>
        <v>48.31358</v>
      </c>
      <c r="K166" s="25">
        <f>I166*'Rate Codes'!$D$8</f>
        <v>42.83897265</v>
      </c>
      <c r="L166" s="81">
        <f t="shared" si="104"/>
        <v>91.15255265</v>
      </c>
      <c r="M166" s="66">
        <f>I166*'Rate Codes'!$D$8</f>
        <v>42.83897265</v>
      </c>
      <c r="N166" s="67">
        <f>(H166)*'Billing Rate'!$B$1</f>
        <v>164.72074</v>
      </c>
      <c r="O166" s="25">
        <f t="shared" si="105"/>
        <v>133.9915253</v>
      </c>
      <c r="P166" s="81">
        <f t="shared" si="106"/>
        <v>298.7122653</v>
      </c>
      <c r="Q166" s="25">
        <f t="shared" si="107"/>
        <v>14.93561327</v>
      </c>
      <c r="R166" s="81">
        <f t="shared" si="108"/>
        <v>313.6478786</v>
      </c>
    </row>
    <row r="167">
      <c r="A167" s="12"/>
      <c r="B167" s="80" t="s">
        <v>119</v>
      </c>
      <c r="C167" s="87">
        <v>31.0</v>
      </c>
      <c r="D167" s="86">
        <v>0.5083333333333333</v>
      </c>
      <c r="E167" s="88">
        <v>0.08500831624</v>
      </c>
      <c r="F167" s="89">
        <f t="shared" si="101"/>
        <v>5255.397599</v>
      </c>
      <c r="G167" s="81">
        <v>4991.0</v>
      </c>
      <c r="H167" s="81">
        <f t="shared" si="102"/>
        <v>-264.3975987</v>
      </c>
      <c r="I167" s="25">
        <f t="shared" si="103"/>
        <v>2708.694273</v>
      </c>
      <c r="J167" s="64">
        <f>C167*'Rate Codes'!$D$7</f>
        <v>53.490035</v>
      </c>
      <c r="K167" s="25">
        <f>I167*'Rate Codes'!$D$8</f>
        <v>35.08571692</v>
      </c>
      <c r="L167" s="81">
        <f t="shared" si="104"/>
        <v>88.57575192</v>
      </c>
      <c r="M167" s="66">
        <f>I167*'Rate Codes'!$D$8</f>
        <v>35.08571692</v>
      </c>
      <c r="N167" s="67">
        <f>(H167)*'Billing Rate'!$B$1</f>
        <v>-17.97903671</v>
      </c>
      <c r="O167" s="25">
        <f t="shared" si="105"/>
        <v>123.6614688</v>
      </c>
      <c r="P167" s="81">
        <f t="shared" si="106"/>
        <v>105.6824321</v>
      </c>
      <c r="Q167" s="25">
        <f t="shared" si="107"/>
        <v>6.183073442</v>
      </c>
      <c r="R167" s="81">
        <f t="shared" si="108"/>
        <v>111.8655056</v>
      </c>
    </row>
    <row r="168">
      <c r="A168" s="12"/>
      <c r="B168" s="80" t="s">
        <v>120</v>
      </c>
      <c r="C168" s="87">
        <v>30.0</v>
      </c>
      <c r="D168" s="86">
        <v>0.425</v>
      </c>
      <c r="E168" s="88">
        <v>0.108773175</v>
      </c>
      <c r="F168" s="89">
        <f t="shared" si="101"/>
        <v>6724.592463</v>
      </c>
      <c r="G168" s="81">
        <v>4952.0</v>
      </c>
      <c r="H168" s="81">
        <f t="shared" si="102"/>
        <v>-1772.592463</v>
      </c>
      <c r="I168" s="25">
        <f t="shared" si="103"/>
        <v>2246.94994</v>
      </c>
      <c r="J168" s="64">
        <f>C168*'Rate Codes'!$D$7</f>
        <v>51.76455</v>
      </c>
      <c r="K168" s="25">
        <f>I168*'Rate Codes'!$D$8</f>
        <v>29.10474257</v>
      </c>
      <c r="L168" s="81">
        <f t="shared" si="104"/>
        <v>80.86929257</v>
      </c>
      <c r="M168" s="66">
        <f>I168*'Rate Codes'!$D$8</f>
        <v>29.10474257</v>
      </c>
      <c r="N168" s="67">
        <f>(H168)*'Billing Rate'!$B$1</f>
        <v>-120.5362875</v>
      </c>
      <c r="O168" s="25">
        <f t="shared" si="105"/>
        <v>109.9740351</v>
      </c>
      <c r="P168" s="81">
        <f t="shared" si="106"/>
        <v>-10.56225236</v>
      </c>
      <c r="Q168" s="25">
        <f t="shared" si="107"/>
        <v>5.498701757</v>
      </c>
      <c r="R168" s="81">
        <f t="shared" si="108"/>
        <v>-5.063550602</v>
      </c>
    </row>
    <row r="169">
      <c r="A169" s="12"/>
      <c r="B169" s="80" t="s">
        <v>98</v>
      </c>
      <c r="C169" s="87">
        <v>31.0</v>
      </c>
      <c r="D169" s="86">
        <v>0.35277916666666664</v>
      </c>
      <c r="E169" s="88">
        <v>0.1281742617</v>
      </c>
      <c r="F169" s="89">
        <f t="shared" si="101"/>
        <v>7924.00952</v>
      </c>
      <c r="G169" s="81">
        <v>5559.0</v>
      </c>
      <c r="H169" s="81">
        <f t="shared" si="102"/>
        <v>-2365.00952</v>
      </c>
      <c r="I169" s="25">
        <f t="shared" si="103"/>
        <v>2093.743301</v>
      </c>
      <c r="J169" s="64">
        <f>C169*'Rate Codes'!$D$7</f>
        <v>53.490035</v>
      </c>
      <c r="K169" s="25">
        <f>I169*'Rate Codes'!$D$8</f>
        <v>27.12025697</v>
      </c>
      <c r="L169" s="81">
        <f t="shared" si="104"/>
        <v>80.61029197</v>
      </c>
      <c r="M169" s="66">
        <f>I169*'Rate Codes'!$D$8</f>
        <v>27.12025697</v>
      </c>
      <c r="N169" s="67">
        <f>(H169)*'Billing Rate'!$B$1</f>
        <v>-160.8206474</v>
      </c>
      <c r="O169" s="25">
        <f t="shared" si="105"/>
        <v>107.7305489</v>
      </c>
      <c r="P169" s="81">
        <f t="shared" si="106"/>
        <v>-53.0900984</v>
      </c>
      <c r="Q169" s="25">
        <f t="shared" si="107"/>
        <v>5.386527447</v>
      </c>
      <c r="R169" s="81">
        <f t="shared" si="108"/>
        <v>-47.70357096</v>
      </c>
    </row>
    <row r="170">
      <c r="A170" s="12"/>
      <c r="B170" s="80" t="s">
        <v>121</v>
      </c>
      <c r="C170" s="87">
        <v>30.0</v>
      </c>
      <c r="D170" s="86">
        <v>0.31388750000000004</v>
      </c>
      <c r="E170" s="88">
        <v>0.1254860808</v>
      </c>
      <c r="F170" s="89">
        <f t="shared" si="101"/>
        <v>7757.820374</v>
      </c>
      <c r="G170" s="81">
        <v>4964.0</v>
      </c>
      <c r="H170" s="81">
        <f t="shared" si="102"/>
        <v>-2793.820374</v>
      </c>
      <c r="I170" s="25">
        <f t="shared" si="103"/>
        <v>1663.526121</v>
      </c>
      <c r="J170" s="64">
        <f>C170*'Rate Codes'!$D$7</f>
        <v>51.76455</v>
      </c>
      <c r="K170" s="25">
        <f>I170*'Rate Codes'!$D$8</f>
        <v>21.54765385</v>
      </c>
      <c r="L170" s="81">
        <f t="shared" si="104"/>
        <v>73.31220385</v>
      </c>
      <c r="M170" s="66">
        <f>I170*'Rate Codes'!$D$8</f>
        <v>21.54765385</v>
      </c>
      <c r="N170" s="67">
        <f>(H170)*'Billing Rate'!$B$1</f>
        <v>-189.9797855</v>
      </c>
      <c r="O170" s="25">
        <f t="shared" si="105"/>
        <v>94.85985769</v>
      </c>
      <c r="P170" s="81">
        <f t="shared" si="106"/>
        <v>-95.11992776</v>
      </c>
      <c r="Q170" s="25">
        <f t="shared" si="107"/>
        <v>4.742992885</v>
      </c>
      <c r="R170" s="81">
        <f t="shared" si="108"/>
        <v>-90.37693488</v>
      </c>
    </row>
    <row r="171">
      <c r="A171" s="12"/>
      <c r="B171" s="80" t="s">
        <v>122</v>
      </c>
      <c r="C171" s="87">
        <v>31.0</v>
      </c>
      <c r="D171" s="86">
        <v>0.33125</v>
      </c>
      <c r="E171" s="88">
        <v>0.1449493112</v>
      </c>
      <c r="F171" s="89">
        <f t="shared" si="101"/>
        <v>8961.079289</v>
      </c>
      <c r="G171" s="81">
        <v>6634.0</v>
      </c>
      <c r="H171" s="81">
        <f t="shared" si="102"/>
        <v>-2327.079289</v>
      </c>
      <c r="I171" s="25">
        <f t="shared" si="103"/>
        <v>2346.146812</v>
      </c>
      <c r="J171" s="64">
        <f>C171*'Rate Codes'!$D$7</f>
        <v>53.490035</v>
      </c>
      <c r="K171" s="25">
        <f>I171*'Rate Codes'!$D$8</f>
        <v>30.38963965</v>
      </c>
      <c r="L171" s="81">
        <f t="shared" si="104"/>
        <v>83.87967465</v>
      </c>
      <c r="M171" s="66">
        <f>I171*'Rate Codes'!$D$8</f>
        <v>30.38963965</v>
      </c>
      <c r="N171" s="67">
        <f>(H171)*'Billing Rate'!$B$1</f>
        <v>-158.2413916</v>
      </c>
      <c r="O171" s="25">
        <f t="shared" si="105"/>
        <v>114.2693143</v>
      </c>
      <c r="P171" s="81">
        <f t="shared" si="106"/>
        <v>-43.97207732</v>
      </c>
      <c r="Q171" s="25">
        <f t="shared" si="107"/>
        <v>5.713465715</v>
      </c>
      <c r="R171" s="81">
        <f t="shared" si="108"/>
        <v>-38.25861161</v>
      </c>
    </row>
    <row r="172">
      <c r="A172" s="12"/>
      <c r="B172" s="80" t="s">
        <v>123</v>
      </c>
      <c r="C172" s="87">
        <v>31.0</v>
      </c>
      <c r="D172" s="86">
        <v>0.3951375</v>
      </c>
      <c r="E172" s="88">
        <v>0.1246952409</v>
      </c>
      <c r="F172" s="89">
        <f t="shared" si="101"/>
        <v>7708.928945</v>
      </c>
      <c r="G172" s="81">
        <v>5909.0</v>
      </c>
      <c r="H172" s="81">
        <f t="shared" si="102"/>
        <v>-1799.928945</v>
      </c>
      <c r="I172" s="25">
        <f t="shared" si="103"/>
        <v>2492.792151</v>
      </c>
      <c r="J172" s="64">
        <f>C172*'Rate Codes'!$D$7</f>
        <v>53.490035</v>
      </c>
      <c r="K172" s="25">
        <f>I172*'Rate Codes'!$D$8</f>
        <v>32.28913673</v>
      </c>
      <c r="L172" s="81">
        <f t="shared" si="104"/>
        <v>85.77917173</v>
      </c>
      <c r="M172" s="66">
        <f>I172*'Rate Codes'!$D$8</f>
        <v>32.28913673</v>
      </c>
      <c r="N172" s="67">
        <f>(H172)*'Billing Rate'!$B$1</f>
        <v>-122.3951682</v>
      </c>
      <c r="O172" s="25">
        <f t="shared" si="105"/>
        <v>118.0683085</v>
      </c>
      <c r="P172" s="81">
        <f t="shared" si="106"/>
        <v>-4.326859777</v>
      </c>
      <c r="Q172" s="25">
        <f t="shared" si="107"/>
        <v>5.903415423</v>
      </c>
      <c r="R172" s="81">
        <f t="shared" si="108"/>
        <v>1.576555646</v>
      </c>
    </row>
    <row r="173">
      <c r="A173" s="12"/>
      <c r="B173" s="80" t="s">
        <v>124</v>
      </c>
      <c r="C173" s="87">
        <v>30.0</v>
      </c>
      <c r="D173" s="86">
        <v>0.4756958333333334</v>
      </c>
      <c r="E173" s="88">
        <v>0.09825803101</v>
      </c>
      <c r="F173" s="89">
        <f t="shared" si="101"/>
        <v>6074.523565</v>
      </c>
      <c r="G173" s="81">
        <v>5270.0</v>
      </c>
      <c r="H173" s="81">
        <f t="shared" si="102"/>
        <v>-804.5235651</v>
      </c>
      <c r="I173" s="25">
        <f t="shared" si="103"/>
        <v>2676.478711</v>
      </c>
      <c r="J173" s="64">
        <f>C173*'Rate Codes'!$D$7</f>
        <v>51.76455</v>
      </c>
      <c r="K173" s="25">
        <f>I173*'Rate Codes'!$D$8</f>
        <v>34.66842875</v>
      </c>
      <c r="L173" s="81">
        <f t="shared" si="104"/>
        <v>86.43297875</v>
      </c>
      <c r="M173" s="66">
        <f>I173*'Rate Codes'!$D$8</f>
        <v>34.66842875</v>
      </c>
      <c r="N173" s="67">
        <f>(H173)*'Billing Rate'!$B$1</f>
        <v>-54.70760242</v>
      </c>
      <c r="O173" s="25">
        <f t="shared" si="105"/>
        <v>121.1014075</v>
      </c>
      <c r="P173" s="81">
        <f t="shared" si="106"/>
        <v>66.39380507</v>
      </c>
      <c r="Q173" s="25">
        <f t="shared" si="107"/>
        <v>6.055070375</v>
      </c>
      <c r="R173" s="81">
        <f t="shared" si="108"/>
        <v>72.44887545</v>
      </c>
    </row>
    <row r="174">
      <c r="A174" s="12"/>
      <c r="B174" s="80" t="s">
        <v>125</v>
      </c>
      <c r="C174" s="87">
        <v>31.0</v>
      </c>
      <c r="D174" s="86">
        <v>0.5590291666666667</v>
      </c>
      <c r="E174" s="88">
        <v>0.06840443866</v>
      </c>
      <c r="F174" s="89">
        <f t="shared" si="101"/>
        <v>4228.910048</v>
      </c>
      <c r="G174" s="81">
        <v>5946.0</v>
      </c>
      <c r="H174" s="81">
        <f t="shared" si="102"/>
        <v>1717.089952</v>
      </c>
      <c r="I174" s="25">
        <f t="shared" si="103"/>
        <v>3548.813715</v>
      </c>
      <c r="J174" s="64">
        <f>C174*'Rate Codes'!$D$7</f>
        <v>53.490035</v>
      </c>
      <c r="K174" s="25">
        <f>I174*'Rate Codes'!$D$8</f>
        <v>45.96778405</v>
      </c>
      <c r="L174" s="81">
        <f t="shared" si="104"/>
        <v>99.45781905</v>
      </c>
      <c r="M174" s="66">
        <f>I174*'Rate Codes'!$D$8</f>
        <v>45.96778405</v>
      </c>
      <c r="N174" s="67">
        <f>(H174)*'Billing Rate'!$B$1</f>
        <v>116.7621168</v>
      </c>
      <c r="O174" s="25">
        <f t="shared" si="105"/>
        <v>145.4256031</v>
      </c>
      <c r="P174" s="81">
        <f t="shared" si="106"/>
        <v>262.1877199</v>
      </c>
      <c r="Q174" s="25">
        <f t="shared" si="107"/>
        <v>13.10938599</v>
      </c>
      <c r="R174" s="81">
        <f t="shared" si="108"/>
        <v>275.2971059</v>
      </c>
    </row>
    <row r="175">
      <c r="A175" s="12"/>
      <c r="B175" s="80" t="s">
        <v>126</v>
      </c>
      <c r="C175" s="87">
        <v>30.0</v>
      </c>
      <c r="D175" s="86">
        <v>0.63125</v>
      </c>
      <c r="E175" s="88">
        <v>0.0271408052</v>
      </c>
      <c r="F175" s="89">
        <f t="shared" si="101"/>
        <v>1677.90316</v>
      </c>
      <c r="G175" s="81">
        <v>5587.0</v>
      </c>
      <c r="H175" s="81">
        <f t="shared" si="102"/>
        <v>3909.09684</v>
      </c>
      <c r="I175" s="25">
        <f t="shared" si="103"/>
        <v>3765.337358</v>
      </c>
      <c r="J175" s="64">
        <f>C175*'Rate Codes'!$D$7</f>
        <v>51.76455</v>
      </c>
      <c r="K175" s="25">
        <f>I175*'Rate Codes'!$D$8</f>
        <v>48.7724148</v>
      </c>
      <c r="L175" s="81">
        <f t="shared" si="104"/>
        <v>100.5369648</v>
      </c>
      <c r="M175" s="66">
        <f>I175*'Rate Codes'!$D$8</f>
        <v>48.7724148</v>
      </c>
      <c r="N175" s="67">
        <f>(H175)*'Billing Rate'!$B$1</f>
        <v>265.8185851</v>
      </c>
      <c r="O175" s="25">
        <f t="shared" si="105"/>
        <v>149.3093796</v>
      </c>
      <c r="P175" s="81">
        <f t="shared" si="106"/>
        <v>415.1279647</v>
      </c>
      <c r="Q175" s="25">
        <f t="shared" si="107"/>
        <v>20.75639824</v>
      </c>
      <c r="R175" s="81">
        <f t="shared" si="108"/>
        <v>435.8843629</v>
      </c>
    </row>
    <row r="176">
      <c r="A176" s="12"/>
      <c r="B176" s="80" t="s">
        <v>127</v>
      </c>
      <c r="C176" s="87">
        <v>31.0</v>
      </c>
      <c r="D176" s="86">
        <v>0.6680541666666667</v>
      </c>
      <c r="E176" s="88">
        <v>0.01559005293</v>
      </c>
      <c r="F176" s="89">
        <f t="shared" si="101"/>
        <v>963.810723</v>
      </c>
      <c r="G176" s="81">
        <v>5490.0</v>
      </c>
      <c r="H176" s="81">
        <f t="shared" si="102"/>
        <v>4526.189277</v>
      </c>
      <c r="I176" s="25">
        <f t="shared" si="103"/>
        <v>3915.685945</v>
      </c>
      <c r="J176" s="64">
        <f>C176*'Rate Codes'!$D$7</f>
        <v>53.490035</v>
      </c>
      <c r="K176" s="25">
        <f>I176*'Rate Codes'!$D$8</f>
        <v>50.71988005</v>
      </c>
      <c r="L176" s="81">
        <f t="shared" si="104"/>
        <v>104.209915</v>
      </c>
      <c r="M176" s="66">
        <f>I176*'Rate Codes'!$D$8</f>
        <v>50.71988005</v>
      </c>
      <c r="N176" s="67">
        <f>(H176)*'Billing Rate'!$B$1</f>
        <v>307.7808708</v>
      </c>
      <c r="O176" s="25">
        <f t="shared" si="105"/>
        <v>154.9297951</v>
      </c>
      <c r="P176" s="81">
        <f t="shared" si="106"/>
        <v>462.7106659</v>
      </c>
      <c r="Q176" s="25">
        <f t="shared" si="107"/>
        <v>23.1355333</v>
      </c>
      <c r="R176" s="81">
        <f t="shared" si="108"/>
        <v>485.8461992</v>
      </c>
    </row>
    <row r="177">
      <c r="A177" s="12"/>
      <c r="B177" s="77" t="s">
        <v>109</v>
      </c>
      <c r="C177" s="82"/>
      <c r="D177" s="83"/>
      <c r="E177" s="83">
        <f t="shared" ref="E177:N177" si="109">SUM(E165:E176)</f>
        <v>1</v>
      </c>
      <c r="F177" s="84">
        <f t="shared" si="109"/>
        <v>61822.15848</v>
      </c>
      <c r="G177" s="85">
        <f t="shared" si="109"/>
        <v>66307</v>
      </c>
      <c r="H177" s="85">
        <f t="shared" si="109"/>
        <v>4484.841519</v>
      </c>
      <c r="I177" s="48">
        <f t="shared" si="109"/>
        <v>34726.33503</v>
      </c>
      <c r="J177" s="85">
        <f t="shared" si="109"/>
        <v>629.802025</v>
      </c>
      <c r="K177" s="85">
        <f t="shared" si="109"/>
        <v>449.8102176</v>
      </c>
      <c r="L177" s="85">
        <f t="shared" si="109"/>
        <v>1079.612243</v>
      </c>
      <c r="M177" s="85">
        <f t="shared" si="109"/>
        <v>449.8102176</v>
      </c>
      <c r="N177" s="85">
        <f t="shared" si="109"/>
        <v>304.9692233</v>
      </c>
      <c r="O177" s="48">
        <f t="shared" si="105"/>
        <v>1529.42246</v>
      </c>
      <c r="P177" s="85">
        <f t="shared" ref="P177:R177" si="110">SUM(P165:P176)</f>
        <v>1834.391684</v>
      </c>
      <c r="Q177" s="85">
        <f t="shared" si="110"/>
        <v>132.9525801</v>
      </c>
      <c r="R177" s="85">
        <f t="shared" si="110"/>
        <v>1967.344264</v>
      </c>
    </row>
    <row r="179">
      <c r="A179" s="76">
        <v>11.0</v>
      </c>
      <c r="B179" s="12" t="s">
        <v>128</v>
      </c>
      <c r="C179" s="12"/>
      <c r="D179" s="15"/>
      <c r="E179" s="15">
        <f>$E$1* POW((1 -$H$1),A179)</f>
        <v>61513.04769</v>
      </c>
      <c r="F179" s="1" t="s">
        <v>132</v>
      </c>
      <c r="G179" s="8">
        <f>E179/G193</f>
        <v>0.9277006604</v>
      </c>
      <c r="H179" s="1" t="s">
        <v>133</v>
      </c>
      <c r="I179" s="6">
        <f>1-G179</f>
        <v>0.07229933962</v>
      </c>
      <c r="J179" s="12" t="s">
        <v>74</v>
      </c>
      <c r="M179" s="12" t="s">
        <v>78</v>
      </c>
      <c r="N179" s="12"/>
      <c r="O179" s="12"/>
      <c r="P179" s="12"/>
      <c r="Q179" s="12"/>
      <c r="R179" s="12"/>
    </row>
    <row r="180">
      <c r="A180" s="12"/>
      <c r="B180" s="77" t="s">
        <v>83</v>
      </c>
      <c r="C180" s="78" t="s">
        <v>88</v>
      </c>
      <c r="D180" s="44" t="s">
        <v>87</v>
      </c>
      <c r="E180" s="77" t="s">
        <v>140</v>
      </c>
      <c r="F180" s="77" t="s">
        <v>135</v>
      </c>
      <c r="G180" s="78" t="s">
        <v>89</v>
      </c>
      <c r="H180" s="78" t="s">
        <v>138</v>
      </c>
      <c r="I180" s="20" t="s">
        <v>139</v>
      </c>
      <c r="J180" s="78" t="s">
        <v>76</v>
      </c>
      <c r="K180" s="78" t="s">
        <v>82</v>
      </c>
      <c r="L180" s="78" t="s">
        <v>109</v>
      </c>
      <c r="M180" s="78" t="s">
        <v>80</v>
      </c>
      <c r="N180" s="78" t="s">
        <v>67</v>
      </c>
      <c r="O180" s="45" t="s">
        <v>114</v>
      </c>
      <c r="P180" s="79" t="s">
        <v>115</v>
      </c>
      <c r="Q180" s="79" t="s">
        <v>60</v>
      </c>
      <c r="R180" s="79" t="s">
        <v>109</v>
      </c>
    </row>
    <row r="181">
      <c r="A181" s="12"/>
      <c r="B181" s="80" t="s">
        <v>117</v>
      </c>
      <c r="C181" s="87">
        <v>31.0</v>
      </c>
      <c r="D181" s="86">
        <v>0.6479166666666667</v>
      </c>
      <c r="E181" s="88">
        <v>0.02731296772</v>
      </c>
      <c r="F181" s="89">
        <f t="shared" ref="F181:F192" si="111">$E$179*E181</f>
        <v>1680.103886</v>
      </c>
      <c r="G181" s="81">
        <v>5726.0</v>
      </c>
      <c r="H181" s="81">
        <f t="shared" ref="H181:H192" si="112">G181-F181</f>
        <v>4045.896114</v>
      </c>
      <c r="I181" s="25">
        <f>D181*G181*(1+$I$179)</f>
        <v>3978.199275</v>
      </c>
      <c r="J181" s="64">
        <f>C181*'Rate Codes'!$D$7</f>
        <v>53.490035</v>
      </c>
      <c r="K181" s="25">
        <f>I181*'Rate Codes'!$D$8</f>
        <v>51.5296152</v>
      </c>
      <c r="L181" s="81">
        <f t="shared" ref="L181:L192" si="113">SUM(J181:K181)</f>
        <v>105.0196502</v>
      </c>
      <c r="M181" s="66">
        <f>I181*'Rate Codes'!$D$8</f>
        <v>51.5296152</v>
      </c>
      <c r="N181" s="67">
        <f>(H181)*'Billing Rate'!$B$1</f>
        <v>275.1209358</v>
      </c>
      <c r="O181" s="25">
        <f t="shared" ref="O181:O193" si="114">L181+M181</f>
        <v>156.5492654</v>
      </c>
      <c r="P181" s="81">
        <f t="shared" ref="P181:P192" si="115">N181+L181+M181</f>
        <v>431.6702012</v>
      </c>
      <c r="Q181" s="25">
        <f t="shared" ref="Q181:Q192" si="116">(IF(N181&gt;0,N181,0)+O181)*0.05</f>
        <v>21.58351006</v>
      </c>
      <c r="R181" s="81">
        <f t="shared" ref="R181:R192" si="117">P181+Q181</f>
        <v>453.2537112</v>
      </c>
    </row>
    <row r="182">
      <c r="A182" s="12"/>
      <c r="B182" s="80" t="s">
        <v>118</v>
      </c>
      <c r="C182" s="87">
        <v>28.0</v>
      </c>
      <c r="D182" s="86">
        <v>0.5868041666666667</v>
      </c>
      <c r="E182" s="88">
        <v>0.04620731865</v>
      </c>
      <c r="F182" s="89">
        <f t="shared" si="111"/>
        <v>2842.352996</v>
      </c>
      <c r="G182" s="81">
        <v>5279.0</v>
      </c>
      <c r="H182" s="81">
        <f t="shared" si="112"/>
        <v>2436.647004</v>
      </c>
      <c r="I182" s="25">
        <f t="shared" ref="I182:I192" si="118">D182*G182</f>
        <v>3097.739196</v>
      </c>
      <c r="J182" s="64">
        <f>C182*'Rate Codes'!$D$7</f>
        <v>48.31358</v>
      </c>
      <c r="K182" s="25">
        <f>I182*'Rate Codes'!$D$8</f>
        <v>40.1250158</v>
      </c>
      <c r="L182" s="81">
        <f t="shared" si="113"/>
        <v>88.4385958</v>
      </c>
      <c r="M182" s="66">
        <f>I182*'Rate Codes'!$D$8</f>
        <v>40.1250158</v>
      </c>
      <c r="N182" s="67">
        <f>(H182)*'Billing Rate'!$B$1</f>
        <v>165.6919963</v>
      </c>
      <c r="O182" s="25">
        <f t="shared" si="114"/>
        <v>128.5636116</v>
      </c>
      <c r="P182" s="81">
        <f t="shared" si="115"/>
        <v>294.2556079</v>
      </c>
      <c r="Q182" s="25">
        <f t="shared" si="116"/>
        <v>14.7127804</v>
      </c>
      <c r="R182" s="81">
        <f t="shared" si="117"/>
        <v>308.9683883</v>
      </c>
    </row>
    <row r="183">
      <c r="A183" s="12"/>
      <c r="B183" s="80" t="s">
        <v>119</v>
      </c>
      <c r="C183" s="87">
        <v>31.0</v>
      </c>
      <c r="D183" s="86">
        <v>0.5083333333333333</v>
      </c>
      <c r="E183" s="88">
        <v>0.08500831624</v>
      </c>
      <c r="F183" s="89">
        <f t="shared" si="111"/>
        <v>5229.120611</v>
      </c>
      <c r="G183" s="81">
        <v>4991.0</v>
      </c>
      <c r="H183" s="81">
        <f t="shared" si="112"/>
        <v>-238.1206107</v>
      </c>
      <c r="I183" s="25">
        <f t="shared" si="118"/>
        <v>2537.091667</v>
      </c>
      <c r="J183" s="64">
        <f>C183*'Rate Codes'!$D$7</f>
        <v>53.490035</v>
      </c>
      <c r="K183" s="25">
        <f>I183*'Rate Codes'!$D$8</f>
        <v>32.86294836</v>
      </c>
      <c r="L183" s="81">
        <f t="shared" si="113"/>
        <v>86.35298336</v>
      </c>
      <c r="M183" s="66">
        <f>I183*'Rate Codes'!$D$8</f>
        <v>32.86294836</v>
      </c>
      <c r="N183" s="67">
        <f>(H183)*'Billing Rate'!$B$1</f>
        <v>-16.19220153</v>
      </c>
      <c r="O183" s="25">
        <f t="shared" si="114"/>
        <v>119.2159317</v>
      </c>
      <c r="P183" s="81">
        <f t="shared" si="115"/>
        <v>103.0237302</v>
      </c>
      <c r="Q183" s="25">
        <f t="shared" si="116"/>
        <v>5.960796586</v>
      </c>
      <c r="R183" s="81">
        <f t="shared" si="117"/>
        <v>108.9845268</v>
      </c>
    </row>
    <row r="184">
      <c r="A184" s="12"/>
      <c r="B184" s="80" t="s">
        <v>120</v>
      </c>
      <c r="C184" s="87">
        <v>30.0</v>
      </c>
      <c r="D184" s="86">
        <v>0.425</v>
      </c>
      <c r="E184" s="88">
        <v>0.108773175</v>
      </c>
      <c r="F184" s="89">
        <f t="shared" si="111"/>
        <v>6690.969501</v>
      </c>
      <c r="G184" s="81">
        <v>4952.0</v>
      </c>
      <c r="H184" s="81">
        <f t="shared" si="112"/>
        <v>-1738.969501</v>
      </c>
      <c r="I184" s="25">
        <f t="shared" si="118"/>
        <v>2104.6</v>
      </c>
      <c r="J184" s="64">
        <f>C184*'Rate Codes'!$D$7</f>
        <v>51.76455</v>
      </c>
      <c r="K184" s="25">
        <f>I184*'Rate Codes'!$D$8</f>
        <v>27.2608838</v>
      </c>
      <c r="L184" s="81">
        <f t="shared" si="113"/>
        <v>79.0254338</v>
      </c>
      <c r="M184" s="66">
        <f>I184*'Rate Codes'!$D$8</f>
        <v>27.2608838</v>
      </c>
      <c r="N184" s="67">
        <f>(H184)*'Billing Rate'!$B$1</f>
        <v>-118.2499261</v>
      </c>
      <c r="O184" s="25">
        <f t="shared" si="114"/>
        <v>106.2863176</v>
      </c>
      <c r="P184" s="81">
        <f t="shared" si="115"/>
        <v>-11.96360846</v>
      </c>
      <c r="Q184" s="25">
        <f t="shared" si="116"/>
        <v>5.31431588</v>
      </c>
      <c r="R184" s="81">
        <f t="shared" si="117"/>
        <v>-6.649292584</v>
      </c>
    </row>
    <row r="185">
      <c r="A185" s="12"/>
      <c r="B185" s="80" t="s">
        <v>98</v>
      </c>
      <c r="C185" s="87">
        <v>31.0</v>
      </c>
      <c r="D185" s="86">
        <v>0.35277916666666664</v>
      </c>
      <c r="E185" s="88">
        <v>0.1281742617</v>
      </c>
      <c r="F185" s="89">
        <f t="shared" si="111"/>
        <v>7884.389472</v>
      </c>
      <c r="G185" s="81">
        <v>5559.0</v>
      </c>
      <c r="H185" s="81">
        <f t="shared" si="112"/>
        <v>-2325.389472</v>
      </c>
      <c r="I185" s="25">
        <f t="shared" si="118"/>
        <v>1961.099388</v>
      </c>
      <c r="J185" s="64">
        <f>C185*'Rate Codes'!$D$7</f>
        <v>53.490035</v>
      </c>
      <c r="K185" s="25">
        <f>I185*'Rate Codes'!$D$8</f>
        <v>25.40212037</v>
      </c>
      <c r="L185" s="81">
        <f t="shared" si="113"/>
        <v>78.89215537</v>
      </c>
      <c r="M185" s="66">
        <f>I185*'Rate Codes'!$D$8</f>
        <v>25.40212037</v>
      </c>
      <c r="N185" s="67">
        <f>(H185)*'Billing Rate'!$B$1</f>
        <v>-158.1264841</v>
      </c>
      <c r="O185" s="25">
        <f t="shared" si="114"/>
        <v>104.2942757</v>
      </c>
      <c r="P185" s="81">
        <f t="shared" si="115"/>
        <v>-53.83220838</v>
      </c>
      <c r="Q185" s="25">
        <f t="shared" si="116"/>
        <v>5.214713787</v>
      </c>
      <c r="R185" s="81">
        <f t="shared" si="117"/>
        <v>-48.6174946</v>
      </c>
    </row>
    <row r="186">
      <c r="A186" s="12"/>
      <c r="B186" s="80" t="s">
        <v>121</v>
      </c>
      <c r="C186" s="87">
        <v>30.0</v>
      </c>
      <c r="D186" s="86">
        <v>0.31388750000000004</v>
      </c>
      <c r="E186" s="88">
        <v>0.1254860808</v>
      </c>
      <c r="F186" s="89">
        <f t="shared" si="111"/>
        <v>7719.031272</v>
      </c>
      <c r="G186" s="81">
        <v>4964.0</v>
      </c>
      <c r="H186" s="81">
        <f t="shared" si="112"/>
        <v>-2755.031272</v>
      </c>
      <c r="I186" s="25">
        <f t="shared" si="118"/>
        <v>1558.13755</v>
      </c>
      <c r="J186" s="64">
        <f>C186*'Rate Codes'!$D$7</f>
        <v>51.76455</v>
      </c>
      <c r="K186" s="25">
        <f>I186*'Rate Codes'!$D$8</f>
        <v>20.18255569</v>
      </c>
      <c r="L186" s="81">
        <f t="shared" si="113"/>
        <v>71.94710569</v>
      </c>
      <c r="M186" s="66">
        <f>I186*'Rate Codes'!$D$8</f>
        <v>20.18255569</v>
      </c>
      <c r="N186" s="67">
        <f>(H186)*'Billing Rate'!$B$1</f>
        <v>-187.3421265</v>
      </c>
      <c r="O186" s="25">
        <f t="shared" si="114"/>
        <v>92.12966137</v>
      </c>
      <c r="P186" s="81">
        <f t="shared" si="115"/>
        <v>-95.21246515</v>
      </c>
      <c r="Q186" s="25">
        <f t="shared" si="116"/>
        <v>4.606483069</v>
      </c>
      <c r="R186" s="81">
        <f t="shared" si="117"/>
        <v>-90.60598209</v>
      </c>
    </row>
    <row r="187">
      <c r="A187" s="12"/>
      <c r="B187" s="80" t="s">
        <v>122</v>
      </c>
      <c r="C187" s="87">
        <v>31.0</v>
      </c>
      <c r="D187" s="86">
        <v>0.33125</v>
      </c>
      <c r="E187" s="88">
        <v>0.1449493112</v>
      </c>
      <c r="F187" s="89">
        <f t="shared" si="111"/>
        <v>8916.273892</v>
      </c>
      <c r="G187" s="81">
        <v>6634.0</v>
      </c>
      <c r="H187" s="81">
        <f t="shared" si="112"/>
        <v>-2282.273892</v>
      </c>
      <c r="I187" s="25">
        <f t="shared" si="118"/>
        <v>2197.5125</v>
      </c>
      <c r="J187" s="64">
        <f>C187*'Rate Codes'!$D$7</f>
        <v>53.490035</v>
      </c>
      <c r="K187" s="25">
        <f>I187*'Rate Codes'!$D$8</f>
        <v>28.46437941</v>
      </c>
      <c r="L187" s="81">
        <f t="shared" si="113"/>
        <v>81.95441441</v>
      </c>
      <c r="M187" s="66">
        <f>I187*'Rate Codes'!$D$8</f>
        <v>28.46437941</v>
      </c>
      <c r="N187" s="67">
        <f>(H187)*'Billing Rate'!$B$1</f>
        <v>-155.1946247</v>
      </c>
      <c r="O187" s="25">
        <f t="shared" si="114"/>
        <v>110.4187938</v>
      </c>
      <c r="P187" s="81">
        <f t="shared" si="115"/>
        <v>-44.77583084</v>
      </c>
      <c r="Q187" s="25">
        <f t="shared" si="116"/>
        <v>5.520939691</v>
      </c>
      <c r="R187" s="81">
        <f t="shared" si="117"/>
        <v>-39.25489115</v>
      </c>
    </row>
    <row r="188">
      <c r="A188" s="12"/>
      <c r="B188" s="80" t="s">
        <v>123</v>
      </c>
      <c r="C188" s="87">
        <v>31.0</v>
      </c>
      <c r="D188" s="86">
        <v>0.3951375</v>
      </c>
      <c r="E188" s="88">
        <v>0.1246952409</v>
      </c>
      <c r="F188" s="89">
        <f t="shared" si="111"/>
        <v>7670.3843</v>
      </c>
      <c r="G188" s="81">
        <v>5909.0</v>
      </c>
      <c r="H188" s="81">
        <f t="shared" si="112"/>
        <v>-1761.3843</v>
      </c>
      <c r="I188" s="25">
        <f t="shared" si="118"/>
        <v>2334.867488</v>
      </c>
      <c r="J188" s="64">
        <f>C188*'Rate Codes'!$D$7</f>
        <v>53.490035</v>
      </c>
      <c r="K188" s="25">
        <f>I188*'Rate Codes'!$D$8</f>
        <v>30.24353857</v>
      </c>
      <c r="L188" s="81">
        <f t="shared" si="113"/>
        <v>83.73357357</v>
      </c>
      <c r="M188" s="66">
        <f>I188*'Rate Codes'!$D$8</f>
        <v>30.24353857</v>
      </c>
      <c r="N188" s="67">
        <f>(H188)*'Billing Rate'!$B$1</f>
        <v>-119.7741324</v>
      </c>
      <c r="O188" s="25">
        <f t="shared" si="114"/>
        <v>113.9771121</v>
      </c>
      <c r="P188" s="81">
        <f t="shared" si="115"/>
        <v>-5.797020264</v>
      </c>
      <c r="Q188" s="25">
        <f t="shared" si="116"/>
        <v>5.698855607</v>
      </c>
      <c r="R188" s="81">
        <f t="shared" si="117"/>
        <v>-0.09816465768</v>
      </c>
    </row>
    <row r="189">
      <c r="A189" s="12"/>
      <c r="B189" s="80" t="s">
        <v>124</v>
      </c>
      <c r="C189" s="87">
        <v>30.0</v>
      </c>
      <c r="D189" s="86">
        <v>0.4756958333333334</v>
      </c>
      <c r="E189" s="88">
        <v>0.09825803101</v>
      </c>
      <c r="F189" s="89">
        <f t="shared" si="111"/>
        <v>6044.150947</v>
      </c>
      <c r="G189" s="81">
        <v>5270.0</v>
      </c>
      <c r="H189" s="81">
        <f t="shared" si="112"/>
        <v>-774.1509472</v>
      </c>
      <c r="I189" s="25">
        <f t="shared" si="118"/>
        <v>2506.917042</v>
      </c>
      <c r="J189" s="64">
        <f>C189*'Rate Codes'!$D$7</f>
        <v>51.76455</v>
      </c>
      <c r="K189" s="25">
        <f>I189*'Rate Codes'!$D$8</f>
        <v>32.47209644</v>
      </c>
      <c r="L189" s="81">
        <f t="shared" si="113"/>
        <v>84.23664644</v>
      </c>
      <c r="M189" s="66">
        <f>I189*'Rate Codes'!$D$8</f>
        <v>32.47209644</v>
      </c>
      <c r="N189" s="67">
        <f>(H189)*'Billing Rate'!$B$1</f>
        <v>-52.64226441</v>
      </c>
      <c r="O189" s="25">
        <f t="shared" si="114"/>
        <v>116.7087429</v>
      </c>
      <c r="P189" s="81">
        <f t="shared" si="115"/>
        <v>64.06647847</v>
      </c>
      <c r="Q189" s="25">
        <f t="shared" si="116"/>
        <v>5.835437144</v>
      </c>
      <c r="R189" s="81">
        <f t="shared" si="117"/>
        <v>69.90191561</v>
      </c>
    </row>
    <row r="190">
      <c r="A190" s="12"/>
      <c r="B190" s="80" t="s">
        <v>125</v>
      </c>
      <c r="C190" s="87">
        <v>31.0</v>
      </c>
      <c r="D190" s="86">
        <v>0.5590291666666667</v>
      </c>
      <c r="E190" s="88">
        <v>0.06840443866</v>
      </c>
      <c r="F190" s="89">
        <f t="shared" si="111"/>
        <v>4207.765497</v>
      </c>
      <c r="G190" s="81">
        <v>5946.0</v>
      </c>
      <c r="H190" s="81">
        <f t="shared" si="112"/>
        <v>1738.234503</v>
      </c>
      <c r="I190" s="25">
        <f t="shared" si="118"/>
        <v>3323.987425</v>
      </c>
      <c r="J190" s="64">
        <f>C190*'Rate Codes'!$D$7</f>
        <v>53.490035</v>
      </c>
      <c r="K190" s="25">
        <f>I190*'Rate Codes'!$D$8</f>
        <v>43.05560912</v>
      </c>
      <c r="L190" s="81">
        <f t="shared" si="113"/>
        <v>96.54564412</v>
      </c>
      <c r="M190" s="66">
        <f>I190*'Rate Codes'!$D$8</f>
        <v>43.05560912</v>
      </c>
      <c r="N190" s="67">
        <f>(H190)*'Billing Rate'!$B$1</f>
        <v>118.1999462</v>
      </c>
      <c r="O190" s="25">
        <f t="shared" si="114"/>
        <v>139.6012532</v>
      </c>
      <c r="P190" s="81">
        <f t="shared" si="115"/>
        <v>257.8011994</v>
      </c>
      <c r="Q190" s="25">
        <f t="shared" si="116"/>
        <v>12.89005997</v>
      </c>
      <c r="R190" s="81">
        <f t="shared" si="117"/>
        <v>270.6912594</v>
      </c>
    </row>
    <row r="191">
      <c r="A191" s="12"/>
      <c r="B191" s="80" t="s">
        <v>126</v>
      </c>
      <c r="C191" s="87">
        <v>30.0</v>
      </c>
      <c r="D191" s="86">
        <v>0.63125</v>
      </c>
      <c r="E191" s="88">
        <v>0.0271408052</v>
      </c>
      <c r="F191" s="89">
        <f t="shared" si="111"/>
        <v>1669.513645</v>
      </c>
      <c r="G191" s="81">
        <v>5587.0</v>
      </c>
      <c r="H191" s="81">
        <f t="shared" si="112"/>
        <v>3917.486355</v>
      </c>
      <c r="I191" s="25">
        <f t="shared" si="118"/>
        <v>3526.79375</v>
      </c>
      <c r="J191" s="64">
        <f>C191*'Rate Codes'!$D$7</f>
        <v>51.76455</v>
      </c>
      <c r="K191" s="25">
        <f>I191*'Rate Codes'!$D$8</f>
        <v>45.68255944</v>
      </c>
      <c r="L191" s="81">
        <f t="shared" si="113"/>
        <v>97.44710944</v>
      </c>
      <c r="M191" s="66">
        <f>I191*'Rate Codes'!$D$8</f>
        <v>45.68255944</v>
      </c>
      <c r="N191" s="67">
        <f>(H191)*'Billing Rate'!$B$1</f>
        <v>266.3890722</v>
      </c>
      <c r="O191" s="25">
        <f t="shared" si="114"/>
        <v>143.1296689</v>
      </c>
      <c r="P191" s="81">
        <f t="shared" si="115"/>
        <v>409.5187411</v>
      </c>
      <c r="Q191" s="25">
        <f t="shared" si="116"/>
        <v>20.47593705</v>
      </c>
      <c r="R191" s="81">
        <f t="shared" si="117"/>
        <v>429.9946781</v>
      </c>
    </row>
    <row r="192">
      <c r="A192" s="12"/>
      <c r="B192" s="80" t="s">
        <v>127</v>
      </c>
      <c r="C192" s="87">
        <v>31.0</v>
      </c>
      <c r="D192" s="86">
        <v>0.6680541666666667</v>
      </c>
      <c r="E192" s="88">
        <v>0.01559005293</v>
      </c>
      <c r="F192" s="89">
        <f t="shared" si="111"/>
        <v>958.9916693</v>
      </c>
      <c r="G192" s="81">
        <v>5490.0</v>
      </c>
      <c r="H192" s="81">
        <f t="shared" si="112"/>
        <v>4531.008331</v>
      </c>
      <c r="I192" s="25">
        <f t="shared" si="118"/>
        <v>3667.617375</v>
      </c>
      <c r="J192" s="64">
        <f>C192*'Rate Codes'!$D$7</f>
        <v>53.490035</v>
      </c>
      <c r="K192" s="25">
        <f>I192*'Rate Codes'!$D$8</f>
        <v>47.50664786</v>
      </c>
      <c r="L192" s="81">
        <f t="shared" si="113"/>
        <v>100.9966829</v>
      </c>
      <c r="M192" s="66">
        <f>I192*'Rate Codes'!$D$8</f>
        <v>47.50664786</v>
      </c>
      <c r="N192" s="67">
        <f>(H192)*'Billing Rate'!$B$1</f>
        <v>308.1085665</v>
      </c>
      <c r="O192" s="25">
        <f t="shared" si="114"/>
        <v>148.5033307</v>
      </c>
      <c r="P192" s="81">
        <f t="shared" si="115"/>
        <v>456.6118972</v>
      </c>
      <c r="Q192" s="25">
        <f t="shared" si="116"/>
        <v>22.83059486</v>
      </c>
      <c r="R192" s="81">
        <f t="shared" si="117"/>
        <v>479.4424921</v>
      </c>
    </row>
    <row r="193">
      <c r="A193" s="12"/>
      <c r="B193" s="77" t="s">
        <v>109</v>
      </c>
      <c r="C193" s="82"/>
      <c r="D193" s="83"/>
      <c r="E193" s="83">
        <f t="shared" ref="E193:N193" si="119">SUM(E181:E192)</f>
        <v>1</v>
      </c>
      <c r="F193" s="84">
        <f t="shared" si="119"/>
        <v>61513.04769</v>
      </c>
      <c r="G193" s="85">
        <f t="shared" si="119"/>
        <v>66307</v>
      </c>
      <c r="H193" s="85">
        <f t="shared" si="119"/>
        <v>4793.952312</v>
      </c>
      <c r="I193" s="48">
        <f t="shared" si="119"/>
        <v>32794.56265</v>
      </c>
      <c r="J193" s="85">
        <f t="shared" si="119"/>
        <v>629.802025</v>
      </c>
      <c r="K193" s="85">
        <f t="shared" si="119"/>
        <v>424.7879701</v>
      </c>
      <c r="L193" s="85">
        <f t="shared" si="119"/>
        <v>1054.589995</v>
      </c>
      <c r="M193" s="85">
        <f t="shared" si="119"/>
        <v>424.7879701</v>
      </c>
      <c r="N193" s="85">
        <f t="shared" si="119"/>
        <v>325.9887572</v>
      </c>
      <c r="O193" s="48">
        <f t="shared" si="114"/>
        <v>1479.377965</v>
      </c>
      <c r="P193" s="85">
        <f t="shared" ref="P193:R193" si="120">SUM(P181:P192)</f>
        <v>1805.366722</v>
      </c>
      <c r="Q193" s="85">
        <f t="shared" si="120"/>
        <v>130.6444241</v>
      </c>
      <c r="R193" s="85">
        <f t="shared" si="120"/>
        <v>1936.011146</v>
      </c>
    </row>
    <row r="195">
      <c r="A195" s="76">
        <v>12.0</v>
      </c>
      <c r="B195" s="12" t="s">
        <v>128</v>
      </c>
      <c r="C195" s="12"/>
      <c r="D195" s="15"/>
      <c r="E195" s="15">
        <f>$E$1* POW((1 -$H$1),A195)</f>
        <v>61205.48245</v>
      </c>
      <c r="F195" s="1" t="s">
        <v>132</v>
      </c>
      <c r="G195" s="8">
        <f>E195/G209</f>
        <v>0.9230621571</v>
      </c>
      <c r="H195" s="1" t="s">
        <v>133</v>
      </c>
      <c r="I195" s="6">
        <f>1-G195</f>
        <v>0.07693784292</v>
      </c>
      <c r="J195" s="12" t="s">
        <v>74</v>
      </c>
      <c r="M195" s="12" t="s">
        <v>78</v>
      </c>
      <c r="N195" s="12"/>
      <c r="O195" s="12"/>
      <c r="P195" s="12"/>
      <c r="Q195" s="12"/>
      <c r="R195" s="12"/>
    </row>
    <row r="196">
      <c r="A196" s="12"/>
      <c r="B196" s="77" t="s">
        <v>83</v>
      </c>
      <c r="C196" s="78" t="s">
        <v>88</v>
      </c>
      <c r="D196" s="44" t="s">
        <v>87</v>
      </c>
      <c r="E196" s="77" t="s">
        <v>140</v>
      </c>
      <c r="F196" s="77" t="s">
        <v>135</v>
      </c>
      <c r="G196" s="78" t="s">
        <v>89</v>
      </c>
      <c r="H196" s="78" t="s">
        <v>138</v>
      </c>
      <c r="I196" s="20" t="s">
        <v>139</v>
      </c>
      <c r="J196" s="78" t="s">
        <v>76</v>
      </c>
      <c r="K196" s="78" t="s">
        <v>82</v>
      </c>
      <c r="L196" s="78" t="s">
        <v>109</v>
      </c>
      <c r="M196" s="78" t="s">
        <v>80</v>
      </c>
      <c r="N196" s="78" t="s">
        <v>67</v>
      </c>
      <c r="O196" s="45" t="s">
        <v>114</v>
      </c>
      <c r="P196" s="79" t="s">
        <v>115</v>
      </c>
      <c r="Q196" s="79" t="s">
        <v>60</v>
      </c>
      <c r="R196" s="79" t="s">
        <v>109</v>
      </c>
    </row>
    <row r="197">
      <c r="A197" s="12"/>
      <c r="B197" s="80" t="s">
        <v>117</v>
      </c>
      <c r="C197" s="87">
        <v>31.0</v>
      </c>
      <c r="D197" s="86">
        <v>0.6479166666666667</v>
      </c>
      <c r="E197" s="88">
        <v>0.02731296772</v>
      </c>
      <c r="F197" s="89">
        <f t="shared" ref="F197:F208" si="121">$E$195*E197</f>
        <v>1671.703366</v>
      </c>
      <c r="G197" s="81">
        <v>5726.0</v>
      </c>
      <c r="H197" s="81">
        <f t="shared" ref="H197:H208" si="122">G197-F197</f>
        <v>4054.296634</v>
      </c>
      <c r="I197" s="25">
        <f t="shared" ref="I197:I208" si="123">D197*G197*(1+$I$195)</f>
        <v>3995.407987</v>
      </c>
      <c r="J197" s="64">
        <f>C197*'Rate Codes'!$D$7</f>
        <v>53.490035</v>
      </c>
      <c r="K197" s="25">
        <f>I197*'Rate Codes'!$D$8</f>
        <v>51.75251965</v>
      </c>
      <c r="L197" s="81">
        <f t="shared" ref="L197:L208" si="124">SUM(J197:K197)</f>
        <v>105.2425546</v>
      </c>
      <c r="M197" s="66">
        <f>I197*'Rate Codes'!$D$8</f>
        <v>51.75251965</v>
      </c>
      <c r="N197" s="67">
        <f>(H197)*'Billing Rate'!$B$1</f>
        <v>275.6921711</v>
      </c>
      <c r="O197" s="25">
        <f t="shared" ref="O197:O209" si="125">L197+M197</f>
        <v>156.9950743</v>
      </c>
      <c r="P197" s="81">
        <f t="shared" ref="P197:P208" si="126">N197+L197+M197</f>
        <v>432.6872454</v>
      </c>
      <c r="Q197" s="25">
        <f t="shared" ref="Q197:Q208" si="127">(IF(N197&gt;0,N197,0)+O197)*0.05</f>
        <v>21.63436227</v>
      </c>
      <c r="R197" s="81">
        <f t="shared" ref="R197:R208" si="128">P197+Q197</f>
        <v>454.3216077</v>
      </c>
    </row>
    <row r="198">
      <c r="A198" s="12"/>
      <c r="B198" s="80" t="s">
        <v>118</v>
      </c>
      <c r="C198" s="87">
        <v>28.0</v>
      </c>
      <c r="D198" s="86">
        <v>0.5868041666666667</v>
      </c>
      <c r="E198" s="88">
        <v>0.04620731865</v>
      </c>
      <c r="F198" s="89">
        <f t="shared" si="121"/>
        <v>2828.141231</v>
      </c>
      <c r="G198" s="81">
        <v>5279.0</v>
      </c>
      <c r="H198" s="81">
        <f t="shared" si="122"/>
        <v>2450.858769</v>
      </c>
      <c r="I198" s="25">
        <f t="shared" si="123"/>
        <v>3336.072567</v>
      </c>
      <c r="J198" s="64">
        <f>C198*'Rate Codes'!$D$7</f>
        <v>48.31358</v>
      </c>
      <c r="K198" s="25">
        <f>I198*'Rate Codes'!$D$8</f>
        <v>43.21214797</v>
      </c>
      <c r="L198" s="81">
        <f t="shared" si="124"/>
        <v>91.52572797</v>
      </c>
      <c r="M198" s="66">
        <f>I198*'Rate Codes'!$D$8</f>
        <v>43.21214797</v>
      </c>
      <c r="N198" s="67">
        <f>(H198)*'Billing Rate'!$B$1</f>
        <v>166.6583963</v>
      </c>
      <c r="O198" s="25">
        <f t="shared" si="125"/>
        <v>134.7378759</v>
      </c>
      <c r="P198" s="81">
        <f t="shared" si="126"/>
        <v>301.3962722</v>
      </c>
      <c r="Q198" s="25">
        <f t="shared" si="127"/>
        <v>15.06981361</v>
      </c>
      <c r="R198" s="81">
        <f t="shared" si="128"/>
        <v>316.4660859</v>
      </c>
    </row>
    <row r="199">
      <c r="A199" s="12"/>
      <c r="B199" s="80" t="s">
        <v>119</v>
      </c>
      <c r="C199" s="87">
        <v>31.0</v>
      </c>
      <c r="D199" s="86">
        <v>0.5083333333333333</v>
      </c>
      <c r="E199" s="88">
        <v>0.08500831624</v>
      </c>
      <c r="F199" s="89">
        <f t="shared" si="121"/>
        <v>5202.975008</v>
      </c>
      <c r="G199" s="81">
        <v>4991.0</v>
      </c>
      <c r="H199" s="81">
        <f t="shared" si="122"/>
        <v>-211.9750077</v>
      </c>
      <c r="I199" s="25">
        <f t="shared" si="123"/>
        <v>2732.290027</v>
      </c>
      <c r="J199" s="64">
        <f>C199*'Rate Codes'!$D$7</f>
        <v>53.490035</v>
      </c>
      <c r="K199" s="25">
        <f>I199*'Rate Codes'!$D$8</f>
        <v>35.39135272</v>
      </c>
      <c r="L199" s="81">
        <f t="shared" si="124"/>
        <v>88.88138772</v>
      </c>
      <c r="M199" s="66">
        <f>I199*'Rate Codes'!$D$8</f>
        <v>35.39135272</v>
      </c>
      <c r="N199" s="67">
        <f>(H199)*'Billing Rate'!$B$1</f>
        <v>-14.41430052</v>
      </c>
      <c r="O199" s="25">
        <f t="shared" si="125"/>
        <v>124.2727404</v>
      </c>
      <c r="P199" s="81">
        <f t="shared" si="126"/>
        <v>109.8584399</v>
      </c>
      <c r="Q199" s="25">
        <f t="shared" si="127"/>
        <v>6.213637022</v>
      </c>
      <c r="R199" s="81">
        <f t="shared" si="128"/>
        <v>116.0720769</v>
      </c>
    </row>
    <row r="200">
      <c r="A200" s="12"/>
      <c r="B200" s="80" t="s">
        <v>120</v>
      </c>
      <c r="C200" s="87">
        <v>30.0</v>
      </c>
      <c r="D200" s="86">
        <v>0.425</v>
      </c>
      <c r="E200" s="88">
        <v>0.108773175</v>
      </c>
      <c r="F200" s="89">
        <f t="shared" si="121"/>
        <v>6657.514653</v>
      </c>
      <c r="G200" s="81">
        <v>4952.0</v>
      </c>
      <c r="H200" s="81">
        <f t="shared" si="122"/>
        <v>-1705.514653</v>
      </c>
      <c r="I200" s="25">
        <f t="shared" si="123"/>
        <v>2266.523384</v>
      </c>
      <c r="J200" s="64">
        <f>C200*'Rate Codes'!$D$7</f>
        <v>51.76455</v>
      </c>
      <c r="K200" s="25">
        <f>I200*'Rate Codes'!$D$8</f>
        <v>29.3582774</v>
      </c>
      <c r="L200" s="81">
        <f t="shared" si="124"/>
        <v>81.1228274</v>
      </c>
      <c r="M200" s="66">
        <f>I200*'Rate Codes'!$D$8</f>
        <v>29.3582774</v>
      </c>
      <c r="N200" s="67">
        <f>(H200)*'Billing Rate'!$B$1</f>
        <v>-115.9749964</v>
      </c>
      <c r="O200" s="25">
        <f t="shared" si="125"/>
        <v>110.4811048</v>
      </c>
      <c r="P200" s="81">
        <f t="shared" si="126"/>
        <v>-5.493891642</v>
      </c>
      <c r="Q200" s="25">
        <f t="shared" si="127"/>
        <v>5.52405524</v>
      </c>
      <c r="R200" s="81">
        <f t="shared" si="128"/>
        <v>0.0301635976</v>
      </c>
    </row>
    <row r="201">
      <c r="A201" s="12"/>
      <c r="B201" s="80" t="s">
        <v>98</v>
      </c>
      <c r="C201" s="87">
        <v>31.0</v>
      </c>
      <c r="D201" s="86">
        <v>0.35277916666666664</v>
      </c>
      <c r="E201" s="88">
        <v>0.1281742617</v>
      </c>
      <c r="F201" s="89">
        <f t="shared" si="121"/>
        <v>7844.967525</v>
      </c>
      <c r="G201" s="81">
        <v>5559.0</v>
      </c>
      <c r="H201" s="81">
        <f t="shared" si="122"/>
        <v>-2285.967525</v>
      </c>
      <c r="I201" s="25">
        <f t="shared" si="123"/>
        <v>2111.982144</v>
      </c>
      <c r="J201" s="64">
        <f>C201*'Rate Codes'!$D$7</f>
        <v>53.490035</v>
      </c>
      <c r="K201" s="25">
        <f>I201*'Rate Codes'!$D$8</f>
        <v>27.35650471</v>
      </c>
      <c r="L201" s="81">
        <f t="shared" si="124"/>
        <v>80.84653971</v>
      </c>
      <c r="M201" s="66">
        <f>I201*'Rate Codes'!$D$8</f>
        <v>27.35650471</v>
      </c>
      <c r="N201" s="67">
        <f>(H201)*'Billing Rate'!$B$1</f>
        <v>-155.4457917</v>
      </c>
      <c r="O201" s="25">
        <f t="shared" si="125"/>
        <v>108.2030444</v>
      </c>
      <c r="P201" s="81">
        <f t="shared" si="126"/>
        <v>-47.24274727</v>
      </c>
      <c r="Q201" s="25">
        <f t="shared" si="127"/>
        <v>5.410152221</v>
      </c>
      <c r="R201" s="81">
        <f t="shared" si="128"/>
        <v>-41.83259505</v>
      </c>
    </row>
    <row r="202">
      <c r="A202" s="12"/>
      <c r="B202" s="80" t="s">
        <v>121</v>
      </c>
      <c r="C202" s="87">
        <v>30.0</v>
      </c>
      <c r="D202" s="86">
        <v>0.31388750000000004</v>
      </c>
      <c r="E202" s="88">
        <v>0.1254860808</v>
      </c>
      <c r="F202" s="89">
        <f t="shared" si="121"/>
        <v>7680.436116</v>
      </c>
      <c r="G202" s="81">
        <v>4964.0</v>
      </c>
      <c r="H202" s="81">
        <f t="shared" si="122"/>
        <v>-2716.436116</v>
      </c>
      <c r="I202" s="25">
        <f t="shared" si="123"/>
        <v>1678.017292</v>
      </c>
      <c r="J202" s="64">
        <f>C202*'Rate Codes'!$D$7</f>
        <v>51.76455</v>
      </c>
      <c r="K202" s="25">
        <f>I202*'Rate Codes'!$D$8</f>
        <v>21.73535798</v>
      </c>
      <c r="L202" s="81">
        <f t="shared" si="124"/>
        <v>73.49990798</v>
      </c>
      <c r="M202" s="66">
        <f>I202*'Rate Codes'!$D$8</f>
        <v>21.73535798</v>
      </c>
      <c r="N202" s="67">
        <f>(H202)*'Billing Rate'!$B$1</f>
        <v>-184.7176559</v>
      </c>
      <c r="O202" s="25">
        <f t="shared" si="125"/>
        <v>95.23526597</v>
      </c>
      <c r="P202" s="81">
        <f t="shared" si="126"/>
        <v>-89.48238992</v>
      </c>
      <c r="Q202" s="25">
        <f t="shared" si="127"/>
        <v>4.761763298</v>
      </c>
      <c r="R202" s="81">
        <f t="shared" si="128"/>
        <v>-84.72062662</v>
      </c>
    </row>
    <row r="203">
      <c r="A203" s="12"/>
      <c r="B203" s="80" t="s">
        <v>122</v>
      </c>
      <c r="C203" s="87">
        <v>31.0</v>
      </c>
      <c r="D203" s="86">
        <v>0.33125</v>
      </c>
      <c r="E203" s="88">
        <v>0.1449493112</v>
      </c>
      <c r="F203" s="89">
        <f t="shared" si="121"/>
        <v>8871.692523</v>
      </c>
      <c r="G203" s="81">
        <v>6634.0</v>
      </c>
      <c r="H203" s="81">
        <f t="shared" si="122"/>
        <v>-2237.692523</v>
      </c>
      <c r="I203" s="25">
        <f t="shared" si="123"/>
        <v>2366.584372</v>
      </c>
      <c r="J203" s="64">
        <f>C203*'Rate Codes'!$D$7</f>
        <v>53.490035</v>
      </c>
      <c r="K203" s="25">
        <f>I203*'Rate Codes'!$D$8</f>
        <v>30.65436736</v>
      </c>
      <c r="L203" s="81">
        <f t="shared" si="124"/>
        <v>84.14440236</v>
      </c>
      <c r="M203" s="66">
        <f>I203*'Rate Codes'!$D$8</f>
        <v>30.65436736</v>
      </c>
      <c r="N203" s="67">
        <f>(H203)*'Billing Rate'!$B$1</f>
        <v>-152.1630915</v>
      </c>
      <c r="O203" s="25">
        <f t="shared" si="125"/>
        <v>114.7987697</v>
      </c>
      <c r="P203" s="81">
        <f t="shared" si="126"/>
        <v>-37.36432182</v>
      </c>
      <c r="Q203" s="25">
        <f t="shared" si="127"/>
        <v>5.739938486</v>
      </c>
      <c r="R203" s="81">
        <f t="shared" si="128"/>
        <v>-31.62438333</v>
      </c>
    </row>
    <row r="204">
      <c r="A204" s="12"/>
      <c r="B204" s="80" t="s">
        <v>123</v>
      </c>
      <c r="C204" s="87">
        <v>31.0</v>
      </c>
      <c r="D204" s="86">
        <v>0.3951375</v>
      </c>
      <c r="E204" s="88">
        <v>0.1246952409</v>
      </c>
      <c r="F204" s="89">
        <f t="shared" si="121"/>
        <v>7632.032378</v>
      </c>
      <c r="G204" s="81">
        <v>5909.0</v>
      </c>
      <c r="H204" s="81">
        <f t="shared" si="122"/>
        <v>-1723.032378</v>
      </c>
      <c r="I204" s="25">
        <f t="shared" si="123"/>
        <v>2514.507155</v>
      </c>
      <c r="J204" s="64">
        <f>C204*'Rate Codes'!$D$7</f>
        <v>53.490035</v>
      </c>
      <c r="K204" s="25">
        <f>I204*'Rate Codes'!$D$8</f>
        <v>32.57041119</v>
      </c>
      <c r="L204" s="81">
        <f t="shared" si="124"/>
        <v>86.06044619</v>
      </c>
      <c r="M204" s="66">
        <f>I204*'Rate Codes'!$D$8</f>
        <v>32.57041119</v>
      </c>
      <c r="N204" s="67">
        <f>(H204)*'Billing Rate'!$B$1</f>
        <v>-117.1662017</v>
      </c>
      <c r="O204" s="25">
        <f t="shared" si="125"/>
        <v>118.6308574</v>
      </c>
      <c r="P204" s="81">
        <f t="shared" si="126"/>
        <v>1.464655637</v>
      </c>
      <c r="Q204" s="25">
        <f t="shared" si="127"/>
        <v>5.931542869</v>
      </c>
      <c r="R204" s="81">
        <f t="shared" si="128"/>
        <v>7.396198505</v>
      </c>
    </row>
    <row r="205">
      <c r="A205" s="12"/>
      <c r="B205" s="80" t="s">
        <v>124</v>
      </c>
      <c r="C205" s="87">
        <v>30.0</v>
      </c>
      <c r="D205" s="86">
        <v>0.4756958333333334</v>
      </c>
      <c r="E205" s="88">
        <v>0.09825803101</v>
      </c>
      <c r="F205" s="89">
        <f t="shared" si="121"/>
        <v>6013.930192</v>
      </c>
      <c r="G205" s="81">
        <v>5270.0</v>
      </c>
      <c r="H205" s="81">
        <f t="shared" si="122"/>
        <v>-743.9301925</v>
      </c>
      <c r="I205" s="25">
        <f t="shared" si="123"/>
        <v>2699.793831</v>
      </c>
      <c r="J205" s="64">
        <f>C205*'Rate Codes'!$D$7</f>
        <v>51.76455</v>
      </c>
      <c r="K205" s="25">
        <f>I205*'Rate Codes'!$D$8</f>
        <v>34.9704295</v>
      </c>
      <c r="L205" s="81">
        <f t="shared" si="124"/>
        <v>86.7349795</v>
      </c>
      <c r="M205" s="66">
        <f>I205*'Rate Codes'!$D$8</f>
        <v>34.9704295</v>
      </c>
      <c r="N205" s="67">
        <f>(H205)*'Billing Rate'!$B$1</f>
        <v>-50.58725309</v>
      </c>
      <c r="O205" s="25">
        <f t="shared" si="125"/>
        <v>121.705409</v>
      </c>
      <c r="P205" s="81">
        <f t="shared" si="126"/>
        <v>71.1181559</v>
      </c>
      <c r="Q205" s="25">
        <f t="shared" si="127"/>
        <v>6.08527045</v>
      </c>
      <c r="R205" s="81">
        <f t="shared" si="128"/>
        <v>77.20342635</v>
      </c>
    </row>
    <row r="206">
      <c r="A206" s="12"/>
      <c r="B206" s="80" t="s">
        <v>125</v>
      </c>
      <c r="C206" s="87">
        <v>31.0</v>
      </c>
      <c r="D206" s="86">
        <v>0.5590291666666667</v>
      </c>
      <c r="E206" s="88">
        <v>0.06840443866</v>
      </c>
      <c r="F206" s="89">
        <f t="shared" si="121"/>
        <v>4186.72667</v>
      </c>
      <c r="G206" s="81">
        <v>5946.0</v>
      </c>
      <c r="H206" s="81">
        <f t="shared" si="122"/>
        <v>1759.27333</v>
      </c>
      <c r="I206" s="25">
        <f t="shared" si="123"/>
        <v>3579.727847</v>
      </c>
      <c r="J206" s="64">
        <f>C206*'Rate Codes'!$D$7</f>
        <v>53.490035</v>
      </c>
      <c r="K206" s="25">
        <f>I206*'Rate Codes'!$D$8</f>
        <v>46.36821481</v>
      </c>
      <c r="L206" s="81">
        <f t="shared" si="124"/>
        <v>99.85824981</v>
      </c>
      <c r="M206" s="66">
        <f>I206*'Rate Codes'!$D$8</f>
        <v>46.36821481</v>
      </c>
      <c r="N206" s="67">
        <f>(H206)*'Billing Rate'!$B$1</f>
        <v>119.6305864</v>
      </c>
      <c r="O206" s="25">
        <f t="shared" si="125"/>
        <v>146.2264646</v>
      </c>
      <c r="P206" s="81">
        <f t="shared" si="126"/>
        <v>265.8570511</v>
      </c>
      <c r="Q206" s="25">
        <f t="shared" si="127"/>
        <v>13.29285255</v>
      </c>
      <c r="R206" s="81">
        <f t="shared" si="128"/>
        <v>279.1499036</v>
      </c>
    </row>
    <row r="207">
      <c r="A207" s="12"/>
      <c r="B207" s="80" t="s">
        <v>126</v>
      </c>
      <c r="C207" s="87">
        <v>30.0</v>
      </c>
      <c r="D207" s="86">
        <v>0.63125</v>
      </c>
      <c r="E207" s="88">
        <v>0.0271408052</v>
      </c>
      <c r="F207" s="89">
        <f t="shared" si="121"/>
        <v>1661.166076</v>
      </c>
      <c r="G207" s="81">
        <v>5587.0</v>
      </c>
      <c r="H207" s="81">
        <f t="shared" si="122"/>
        <v>3925.833924</v>
      </c>
      <c r="I207" s="25">
        <f t="shared" si="123"/>
        <v>3798.137654</v>
      </c>
      <c r="J207" s="64">
        <f>C207*'Rate Codes'!$D$7</f>
        <v>51.76455</v>
      </c>
      <c r="K207" s="25">
        <f>I207*'Rate Codes'!$D$8</f>
        <v>49.19727703</v>
      </c>
      <c r="L207" s="81">
        <f t="shared" si="124"/>
        <v>100.961827</v>
      </c>
      <c r="M207" s="66">
        <f>I207*'Rate Codes'!$D$8</f>
        <v>49.19727703</v>
      </c>
      <c r="N207" s="67">
        <f>(H207)*'Billing Rate'!$B$1</f>
        <v>266.9567068</v>
      </c>
      <c r="O207" s="25">
        <f t="shared" si="125"/>
        <v>150.1591041</v>
      </c>
      <c r="P207" s="81">
        <f t="shared" si="126"/>
        <v>417.1158109</v>
      </c>
      <c r="Q207" s="25">
        <f t="shared" si="127"/>
        <v>20.85579054</v>
      </c>
      <c r="R207" s="81">
        <f t="shared" si="128"/>
        <v>437.9716014</v>
      </c>
    </row>
    <row r="208">
      <c r="A208" s="12"/>
      <c r="B208" s="80" t="s">
        <v>127</v>
      </c>
      <c r="C208" s="87">
        <v>31.0</v>
      </c>
      <c r="D208" s="86">
        <v>0.6680541666666667</v>
      </c>
      <c r="E208" s="88">
        <v>0.01559005293</v>
      </c>
      <c r="F208" s="89">
        <f t="shared" si="121"/>
        <v>954.196711</v>
      </c>
      <c r="G208" s="81">
        <v>5490.0</v>
      </c>
      <c r="H208" s="81">
        <f t="shared" si="122"/>
        <v>4535.803289</v>
      </c>
      <c r="I208" s="25">
        <f t="shared" si="123"/>
        <v>3949.795944</v>
      </c>
      <c r="J208" s="64">
        <f>C208*'Rate Codes'!$D$7</f>
        <v>53.490035</v>
      </c>
      <c r="K208" s="25">
        <f>I208*'Rate Codes'!$D$8</f>
        <v>51.16170687</v>
      </c>
      <c r="L208" s="81">
        <f t="shared" si="124"/>
        <v>104.6517419</v>
      </c>
      <c r="M208" s="66">
        <f>I208*'Rate Codes'!$D$8</f>
        <v>51.16170687</v>
      </c>
      <c r="N208" s="67">
        <f>(H208)*'Billing Rate'!$B$1</f>
        <v>308.4346237</v>
      </c>
      <c r="O208" s="25">
        <f t="shared" si="125"/>
        <v>155.8134487</v>
      </c>
      <c r="P208" s="81">
        <f t="shared" si="126"/>
        <v>464.2480724</v>
      </c>
      <c r="Q208" s="25">
        <f t="shared" si="127"/>
        <v>23.21240362</v>
      </c>
      <c r="R208" s="81">
        <f t="shared" si="128"/>
        <v>487.460476</v>
      </c>
    </row>
    <row r="209">
      <c r="A209" s="12"/>
      <c r="B209" s="77" t="s">
        <v>109</v>
      </c>
      <c r="C209" s="82"/>
      <c r="D209" s="83"/>
      <c r="E209" s="83">
        <f t="shared" ref="E209:N209" si="129">SUM(E197:E208)</f>
        <v>1</v>
      </c>
      <c r="F209" s="84">
        <f t="shared" si="129"/>
        <v>61205.48245</v>
      </c>
      <c r="G209" s="85">
        <f t="shared" si="129"/>
        <v>66307</v>
      </c>
      <c r="H209" s="85">
        <f t="shared" si="129"/>
        <v>5101.51755</v>
      </c>
      <c r="I209" s="48">
        <f t="shared" si="129"/>
        <v>35028.8402</v>
      </c>
      <c r="J209" s="85">
        <f t="shared" si="129"/>
        <v>629.802025</v>
      </c>
      <c r="K209" s="85">
        <f t="shared" si="129"/>
        <v>453.7285672</v>
      </c>
      <c r="L209" s="85">
        <f t="shared" si="129"/>
        <v>1083.530592</v>
      </c>
      <c r="M209" s="85">
        <f t="shared" si="129"/>
        <v>453.7285672</v>
      </c>
      <c r="N209" s="85">
        <f t="shared" si="129"/>
        <v>346.9031934</v>
      </c>
      <c r="O209" s="48">
        <f t="shared" si="125"/>
        <v>1537.259159</v>
      </c>
      <c r="P209" s="85">
        <f t="shared" ref="P209:R209" si="130">SUM(P197:P208)</f>
        <v>1884.162353</v>
      </c>
      <c r="Q209" s="85">
        <f t="shared" si="130"/>
        <v>133.7315822</v>
      </c>
      <c r="R209" s="85">
        <f t="shared" si="130"/>
        <v>2017.893935</v>
      </c>
    </row>
    <row r="211">
      <c r="A211" s="76">
        <v>13.0</v>
      </c>
      <c r="B211" s="12" t="s">
        <v>128</v>
      </c>
      <c r="C211" s="12"/>
      <c r="D211" s="15"/>
      <c r="E211" s="15">
        <f>$E$1* POW((1 -$H$1),A211)</f>
        <v>60899.45504</v>
      </c>
      <c r="F211" s="1" t="s">
        <v>132</v>
      </c>
      <c r="G211" s="8">
        <f>E211/G225</f>
        <v>0.9184468463</v>
      </c>
      <c r="H211" s="1" t="s">
        <v>133</v>
      </c>
      <c r="I211" s="6">
        <f>1-G211</f>
        <v>0.08155315371</v>
      </c>
      <c r="J211" s="12" t="s">
        <v>74</v>
      </c>
      <c r="M211" s="12" t="s">
        <v>78</v>
      </c>
      <c r="N211" s="12"/>
      <c r="O211" s="12"/>
      <c r="P211" s="12"/>
      <c r="Q211" s="12"/>
      <c r="R211" s="12"/>
    </row>
    <row r="212">
      <c r="A212" s="12"/>
      <c r="B212" s="77" t="s">
        <v>83</v>
      </c>
      <c r="C212" s="78" t="s">
        <v>88</v>
      </c>
      <c r="D212" s="44" t="s">
        <v>87</v>
      </c>
      <c r="E212" s="77" t="s">
        <v>140</v>
      </c>
      <c r="F212" s="77" t="s">
        <v>135</v>
      </c>
      <c r="G212" s="78" t="s">
        <v>89</v>
      </c>
      <c r="H212" s="78" t="s">
        <v>138</v>
      </c>
      <c r="I212" s="20" t="s">
        <v>139</v>
      </c>
      <c r="J212" s="78" t="s">
        <v>76</v>
      </c>
      <c r="K212" s="78" t="s">
        <v>82</v>
      </c>
      <c r="L212" s="78" t="s">
        <v>109</v>
      </c>
      <c r="M212" s="78" t="s">
        <v>80</v>
      </c>
      <c r="N212" s="78" t="s">
        <v>67</v>
      </c>
      <c r="O212" s="45" t="s">
        <v>114</v>
      </c>
      <c r="P212" s="79" t="s">
        <v>115</v>
      </c>
      <c r="Q212" s="79" t="s">
        <v>60</v>
      </c>
      <c r="R212" s="79" t="s">
        <v>109</v>
      </c>
    </row>
    <row r="213">
      <c r="A213" s="12"/>
      <c r="B213" s="80" t="s">
        <v>117</v>
      </c>
      <c r="C213" s="87">
        <v>31.0</v>
      </c>
      <c r="D213" s="86">
        <v>0.6479166666666667</v>
      </c>
      <c r="E213" s="88">
        <v>0.02731296772</v>
      </c>
      <c r="F213" s="89">
        <f t="shared" ref="F213:F224" si="131">$E$211*E213</f>
        <v>1663.34485</v>
      </c>
      <c r="G213" s="81">
        <v>5726.0</v>
      </c>
      <c r="H213" s="81">
        <f t="shared" ref="H213:H224" si="132">G213-F213</f>
        <v>4062.65515</v>
      </c>
      <c r="I213" s="25">
        <f t="shared" ref="I213:I224" si="133">D213*G213*(1+$I$211)</f>
        <v>4012.530655</v>
      </c>
      <c r="J213" s="64">
        <f>C213*'Rate Codes'!$D$7</f>
        <v>53.490035</v>
      </c>
      <c r="K213" s="25">
        <f>I213*'Rate Codes'!$D$8</f>
        <v>51.97430957</v>
      </c>
      <c r="L213" s="81">
        <f t="shared" ref="L213:L224" si="134">SUM(J213:K213)</f>
        <v>105.4643446</v>
      </c>
      <c r="M213" s="66">
        <f>I213*'Rate Codes'!$D$8</f>
        <v>51.97430957</v>
      </c>
      <c r="N213" s="67">
        <f>(H213)*'Billing Rate'!$B$1</f>
        <v>276.2605502</v>
      </c>
      <c r="O213" s="25">
        <f t="shared" ref="O213:O225" si="135">L213+M213</f>
        <v>157.4386541</v>
      </c>
      <c r="P213" s="81">
        <f t="shared" ref="P213:P224" si="136">N213+L213+M213</f>
        <v>433.6992044</v>
      </c>
      <c r="Q213" s="25">
        <f t="shared" ref="Q213:Q224" si="137">(IF(N213&gt;0,N213,0)+O213)*0.05</f>
        <v>21.68496022</v>
      </c>
      <c r="R213" s="81">
        <f t="shared" ref="R213:R224" si="138">P213+Q213</f>
        <v>455.3841646</v>
      </c>
    </row>
    <row r="214">
      <c r="A214" s="12"/>
      <c r="B214" s="80" t="s">
        <v>118</v>
      </c>
      <c r="C214" s="87">
        <v>28.0</v>
      </c>
      <c r="D214" s="86">
        <v>0.5868041666666667</v>
      </c>
      <c r="E214" s="88">
        <v>0.04620731865</v>
      </c>
      <c r="F214" s="89">
        <f t="shared" si="131"/>
        <v>2814.000525</v>
      </c>
      <c r="G214" s="81">
        <v>5279.0</v>
      </c>
      <c r="H214" s="81">
        <f t="shared" si="132"/>
        <v>2464.999475</v>
      </c>
      <c r="I214" s="25">
        <f t="shared" si="133"/>
        <v>3350.369597</v>
      </c>
      <c r="J214" s="64">
        <f>C214*'Rate Codes'!$D$7</f>
        <v>48.31358</v>
      </c>
      <c r="K214" s="25">
        <f>I214*'Rate Codes'!$D$8</f>
        <v>43.39733738</v>
      </c>
      <c r="L214" s="81">
        <f t="shared" si="134"/>
        <v>91.71091738</v>
      </c>
      <c r="M214" s="66">
        <f>I214*'Rate Codes'!$D$8</f>
        <v>43.39733738</v>
      </c>
      <c r="N214" s="67">
        <f>(H214)*'Billing Rate'!$B$1</f>
        <v>167.6199643</v>
      </c>
      <c r="O214" s="25">
        <f t="shared" si="135"/>
        <v>135.1082548</v>
      </c>
      <c r="P214" s="81">
        <f t="shared" si="136"/>
        <v>302.7282191</v>
      </c>
      <c r="Q214" s="25">
        <f t="shared" si="137"/>
        <v>15.13641096</v>
      </c>
      <c r="R214" s="81">
        <f t="shared" si="138"/>
        <v>317.8646301</v>
      </c>
    </row>
    <row r="215">
      <c r="A215" s="12"/>
      <c r="B215" s="80" t="s">
        <v>119</v>
      </c>
      <c r="C215" s="87">
        <v>31.0</v>
      </c>
      <c r="D215" s="86">
        <v>0.5083333333333333</v>
      </c>
      <c r="E215" s="88">
        <v>0.08500831624</v>
      </c>
      <c r="F215" s="89">
        <f t="shared" si="131"/>
        <v>5176.960133</v>
      </c>
      <c r="G215" s="81">
        <v>4991.0</v>
      </c>
      <c r="H215" s="81">
        <f t="shared" si="132"/>
        <v>-185.9601326</v>
      </c>
      <c r="I215" s="25">
        <f t="shared" si="133"/>
        <v>2743.999493</v>
      </c>
      <c r="J215" s="64">
        <f>C215*'Rate Codes'!$D$7</f>
        <v>53.490035</v>
      </c>
      <c r="K215" s="25">
        <f>I215*'Rate Codes'!$D$8</f>
        <v>35.54302544</v>
      </c>
      <c r="L215" s="81">
        <f t="shared" si="134"/>
        <v>89.03306044</v>
      </c>
      <c r="M215" s="66">
        <f>I215*'Rate Codes'!$D$8</f>
        <v>35.54302544</v>
      </c>
      <c r="N215" s="67">
        <f>(H215)*'Billing Rate'!$B$1</f>
        <v>-12.64528902</v>
      </c>
      <c r="O215" s="25">
        <f t="shared" si="135"/>
        <v>124.5760859</v>
      </c>
      <c r="P215" s="81">
        <f t="shared" si="136"/>
        <v>111.9307969</v>
      </c>
      <c r="Q215" s="25">
        <f t="shared" si="137"/>
        <v>6.228804294</v>
      </c>
      <c r="R215" s="81">
        <f t="shared" si="138"/>
        <v>118.1596011</v>
      </c>
    </row>
    <row r="216">
      <c r="A216" s="12"/>
      <c r="B216" s="80" t="s">
        <v>120</v>
      </c>
      <c r="C216" s="87">
        <v>30.0</v>
      </c>
      <c r="D216" s="86">
        <v>0.425</v>
      </c>
      <c r="E216" s="88">
        <v>0.108773175</v>
      </c>
      <c r="F216" s="89">
        <f t="shared" si="131"/>
        <v>6624.22708</v>
      </c>
      <c r="G216" s="81">
        <v>4952.0</v>
      </c>
      <c r="H216" s="81">
        <f t="shared" si="132"/>
        <v>-1672.22708</v>
      </c>
      <c r="I216" s="25">
        <f t="shared" si="133"/>
        <v>2276.236767</v>
      </c>
      <c r="J216" s="64">
        <f>C216*'Rate Codes'!$D$7</f>
        <v>51.76455</v>
      </c>
      <c r="K216" s="25">
        <f>I216*'Rate Codes'!$D$8</f>
        <v>29.48409485</v>
      </c>
      <c r="L216" s="81">
        <f t="shared" si="134"/>
        <v>81.24864485</v>
      </c>
      <c r="M216" s="66">
        <f>I216*'Rate Codes'!$D$8</f>
        <v>29.48409485</v>
      </c>
      <c r="N216" s="67">
        <f>(H216)*'Billing Rate'!$B$1</f>
        <v>-113.7114415</v>
      </c>
      <c r="O216" s="25">
        <f t="shared" si="135"/>
        <v>110.7327397</v>
      </c>
      <c r="P216" s="81">
        <f t="shared" si="136"/>
        <v>-2.978701758</v>
      </c>
      <c r="Q216" s="25">
        <f t="shared" si="137"/>
        <v>5.536636985</v>
      </c>
      <c r="R216" s="81">
        <f t="shared" si="138"/>
        <v>2.557935227</v>
      </c>
    </row>
    <row r="217">
      <c r="A217" s="12"/>
      <c r="B217" s="80" t="s">
        <v>98</v>
      </c>
      <c r="C217" s="87">
        <v>31.0</v>
      </c>
      <c r="D217" s="86">
        <v>0.35277916666666664</v>
      </c>
      <c r="E217" s="88">
        <v>0.1281742617</v>
      </c>
      <c r="F217" s="89">
        <f t="shared" si="131"/>
        <v>7805.742687</v>
      </c>
      <c r="G217" s="81">
        <v>5559.0</v>
      </c>
      <c r="H217" s="81">
        <f t="shared" si="132"/>
        <v>-2246.742687</v>
      </c>
      <c r="I217" s="25">
        <f t="shared" si="133"/>
        <v>2121.033227</v>
      </c>
      <c r="J217" s="64">
        <f>C217*'Rate Codes'!$D$7</f>
        <v>53.490035</v>
      </c>
      <c r="K217" s="25">
        <f>I217*'Rate Codes'!$D$8</f>
        <v>27.47374339</v>
      </c>
      <c r="L217" s="81">
        <f t="shared" si="134"/>
        <v>80.96377839</v>
      </c>
      <c r="M217" s="66">
        <f>I217*'Rate Codes'!$D$8</f>
        <v>27.47374339</v>
      </c>
      <c r="N217" s="67">
        <f>(H217)*'Billing Rate'!$B$1</f>
        <v>-152.7785027</v>
      </c>
      <c r="O217" s="25">
        <f t="shared" si="135"/>
        <v>108.4375218</v>
      </c>
      <c r="P217" s="81">
        <f t="shared" si="136"/>
        <v>-44.34098095</v>
      </c>
      <c r="Q217" s="25">
        <f t="shared" si="137"/>
        <v>5.421876089</v>
      </c>
      <c r="R217" s="81">
        <f t="shared" si="138"/>
        <v>-38.91910486</v>
      </c>
    </row>
    <row r="218">
      <c r="A218" s="12"/>
      <c r="B218" s="80" t="s">
        <v>121</v>
      </c>
      <c r="C218" s="87">
        <v>30.0</v>
      </c>
      <c r="D218" s="86">
        <v>0.31388750000000004</v>
      </c>
      <c r="E218" s="88">
        <v>0.1254860808</v>
      </c>
      <c r="F218" s="89">
        <f t="shared" si="131"/>
        <v>7642.033935</v>
      </c>
      <c r="G218" s="81">
        <v>4964.0</v>
      </c>
      <c r="H218" s="81">
        <f t="shared" si="132"/>
        <v>-2678.033935</v>
      </c>
      <c r="I218" s="25">
        <f t="shared" si="133"/>
        <v>1685.208581</v>
      </c>
      <c r="J218" s="64">
        <f>C218*'Rate Codes'!$D$7</f>
        <v>51.76455</v>
      </c>
      <c r="K218" s="25">
        <f>I218*'Rate Codes'!$D$8</f>
        <v>21.82850675</v>
      </c>
      <c r="L218" s="81">
        <f t="shared" si="134"/>
        <v>73.59305675</v>
      </c>
      <c r="M218" s="66">
        <f>I218*'Rate Codes'!$D$8</f>
        <v>21.82850675</v>
      </c>
      <c r="N218" s="67">
        <f>(H218)*'Billing Rate'!$B$1</f>
        <v>-182.1063076</v>
      </c>
      <c r="O218" s="25">
        <f t="shared" si="135"/>
        <v>95.4215635</v>
      </c>
      <c r="P218" s="81">
        <f t="shared" si="136"/>
        <v>-86.68474411</v>
      </c>
      <c r="Q218" s="25">
        <f t="shared" si="137"/>
        <v>4.771078175</v>
      </c>
      <c r="R218" s="81">
        <f t="shared" si="138"/>
        <v>-81.91366593</v>
      </c>
    </row>
    <row r="219">
      <c r="A219" s="12"/>
      <c r="B219" s="80" t="s">
        <v>122</v>
      </c>
      <c r="C219" s="87">
        <v>31.0</v>
      </c>
      <c r="D219" s="86">
        <v>0.33125</v>
      </c>
      <c r="E219" s="88">
        <v>0.1449493112</v>
      </c>
      <c r="F219" s="89">
        <f t="shared" si="131"/>
        <v>8827.33406</v>
      </c>
      <c r="G219" s="81">
        <v>6634.0</v>
      </c>
      <c r="H219" s="81">
        <f t="shared" si="132"/>
        <v>-2193.33406</v>
      </c>
      <c r="I219" s="25">
        <f t="shared" si="133"/>
        <v>2376.726575</v>
      </c>
      <c r="J219" s="64">
        <f>C219*'Rate Codes'!$D$7</f>
        <v>53.490035</v>
      </c>
      <c r="K219" s="25">
        <f>I219*'Rate Codes'!$D$8</f>
        <v>30.78573932</v>
      </c>
      <c r="L219" s="81">
        <f t="shared" si="134"/>
        <v>84.27577432</v>
      </c>
      <c r="M219" s="66">
        <f>I219*'Rate Codes'!$D$8</f>
        <v>30.78573932</v>
      </c>
      <c r="N219" s="67">
        <f>(H219)*'Billing Rate'!$B$1</f>
        <v>-149.1467161</v>
      </c>
      <c r="O219" s="25">
        <f t="shared" si="135"/>
        <v>115.0615136</v>
      </c>
      <c r="P219" s="81">
        <f t="shared" si="136"/>
        <v>-34.08520244</v>
      </c>
      <c r="Q219" s="25">
        <f t="shared" si="137"/>
        <v>5.753075682</v>
      </c>
      <c r="R219" s="81">
        <f t="shared" si="138"/>
        <v>-28.33212676</v>
      </c>
    </row>
    <row r="220">
      <c r="A220" s="12"/>
      <c r="B220" s="80" t="s">
        <v>123</v>
      </c>
      <c r="C220" s="87">
        <v>31.0</v>
      </c>
      <c r="D220" s="86">
        <v>0.3951375</v>
      </c>
      <c r="E220" s="88">
        <v>0.1246952409</v>
      </c>
      <c r="F220" s="89">
        <f t="shared" si="131"/>
        <v>7593.872217</v>
      </c>
      <c r="G220" s="81">
        <v>5909.0</v>
      </c>
      <c r="H220" s="81">
        <f t="shared" si="132"/>
        <v>-1684.872217</v>
      </c>
      <c r="I220" s="25">
        <f t="shared" si="133"/>
        <v>2525.283295</v>
      </c>
      <c r="J220" s="64">
        <f>C220*'Rate Codes'!$D$7</f>
        <v>53.490035</v>
      </c>
      <c r="K220" s="25">
        <f>I220*'Rate Codes'!$D$8</f>
        <v>32.70999451</v>
      </c>
      <c r="L220" s="81">
        <f t="shared" si="134"/>
        <v>86.20002951</v>
      </c>
      <c r="M220" s="66">
        <f>I220*'Rate Codes'!$D$8</f>
        <v>32.70999451</v>
      </c>
      <c r="N220" s="67">
        <f>(H220)*'Billing Rate'!$B$1</f>
        <v>-114.5713107</v>
      </c>
      <c r="O220" s="25">
        <f t="shared" si="135"/>
        <v>118.910024</v>
      </c>
      <c r="P220" s="81">
        <f t="shared" si="136"/>
        <v>4.338713305</v>
      </c>
      <c r="Q220" s="25">
        <f t="shared" si="137"/>
        <v>5.945501201</v>
      </c>
      <c r="R220" s="81">
        <f t="shared" si="138"/>
        <v>10.28421451</v>
      </c>
    </row>
    <row r="221">
      <c r="A221" s="12"/>
      <c r="B221" s="80" t="s">
        <v>124</v>
      </c>
      <c r="C221" s="87">
        <v>30.0</v>
      </c>
      <c r="D221" s="86">
        <v>0.4756958333333334</v>
      </c>
      <c r="E221" s="88">
        <v>0.09825803101</v>
      </c>
      <c r="F221" s="89">
        <f t="shared" si="131"/>
        <v>5983.860542</v>
      </c>
      <c r="G221" s="81">
        <v>5270.0</v>
      </c>
      <c r="H221" s="81">
        <f t="shared" si="132"/>
        <v>-713.8605415</v>
      </c>
      <c r="I221" s="25">
        <f t="shared" si="133"/>
        <v>2711.364032</v>
      </c>
      <c r="J221" s="64">
        <f>C221*'Rate Codes'!$D$7</f>
        <v>51.76455</v>
      </c>
      <c r="K221" s="25">
        <f>I221*'Rate Codes'!$D$8</f>
        <v>35.12029831</v>
      </c>
      <c r="L221" s="81">
        <f t="shared" si="134"/>
        <v>86.88484831</v>
      </c>
      <c r="M221" s="66">
        <f>I221*'Rate Codes'!$D$8</f>
        <v>35.12029831</v>
      </c>
      <c r="N221" s="67">
        <f>(H221)*'Billing Rate'!$B$1</f>
        <v>-48.54251682</v>
      </c>
      <c r="O221" s="25">
        <f t="shared" si="135"/>
        <v>122.0051466</v>
      </c>
      <c r="P221" s="81">
        <f t="shared" si="136"/>
        <v>73.4626298</v>
      </c>
      <c r="Q221" s="25">
        <f t="shared" si="137"/>
        <v>6.100257331</v>
      </c>
      <c r="R221" s="81">
        <f t="shared" si="138"/>
        <v>79.56288713</v>
      </c>
    </row>
    <row r="222">
      <c r="A222" s="12"/>
      <c r="B222" s="80" t="s">
        <v>125</v>
      </c>
      <c r="C222" s="87">
        <v>31.0</v>
      </c>
      <c r="D222" s="86">
        <v>0.5590291666666667</v>
      </c>
      <c r="E222" s="88">
        <v>0.06840443866</v>
      </c>
      <c r="F222" s="89">
        <f t="shared" si="131"/>
        <v>4165.793037</v>
      </c>
      <c r="G222" s="81">
        <v>5946.0</v>
      </c>
      <c r="H222" s="81">
        <f t="shared" si="132"/>
        <v>1780.206963</v>
      </c>
      <c r="I222" s="25">
        <f t="shared" si="133"/>
        <v>3595.069082</v>
      </c>
      <c r="J222" s="64">
        <f>C222*'Rate Codes'!$D$7</f>
        <v>53.490035</v>
      </c>
      <c r="K222" s="25">
        <f>I222*'Rate Codes'!$D$8</f>
        <v>46.56692982</v>
      </c>
      <c r="L222" s="81">
        <f t="shared" si="134"/>
        <v>100.0569648</v>
      </c>
      <c r="M222" s="66">
        <f>I222*'Rate Codes'!$D$8</f>
        <v>46.56692982</v>
      </c>
      <c r="N222" s="67">
        <f>(H222)*'Billing Rate'!$B$1</f>
        <v>121.0540735</v>
      </c>
      <c r="O222" s="25">
        <f t="shared" si="135"/>
        <v>146.6238946</v>
      </c>
      <c r="P222" s="81">
        <f t="shared" si="136"/>
        <v>267.6779682</v>
      </c>
      <c r="Q222" s="25">
        <f t="shared" si="137"/>
        <v>13.38389841</v>
      </c>
      <c r="R222" s="81">
        <f t="shared" si="138"/>
        <v>281.0618666</v>
      </c>
    </row>
    <row r="223">
      <c r="A223" s="12"/>
      <c r="B223" s="80" t="s">
        <v>126</v>
      </c>
      <c r="C223" s="87">
        <v>30.0</v>
      </c>
      <c r="D223" s="86">
        <v>0.63125</v>
      </c>
      <c r="E223" s="88">
        <v>0.0271408052</v>
      </c>
      <c r="F223" s="89">
        <f t="shared" si="131"/>
        <v>1652.860246</v>
      </c>
      <c r="G223" s="81">
        <v>5587.0</v>
      </c>
      <c r="H223" s="81">
        <f t="shared" si="132"/>
        <v>3934.139754</v>
      </c>
      <c r="I223" s="25">
        <f t="shared" si="133"/>
        <v>3814.414903</v>
      </c>
      <c r="J223" s="64">
        <f>C223*'Rate Codes'!$D$7</f>
        <v>51.76455</v>
      </c>
      <c r="K223" s="25">
        <f>I223*'Rate Codes'!$D$8</f>
        <v>49.40811624</v>
      </c>
      <c r="L223" s="81">
        <f t="shared" si="134"/>
        <v>101.1726662</v>
      </c>
      <c r="M223" s="66">
        <f>I223*'Rate Codes'!$D$8</f>
        <v>49.40811624</v>
      </c>
      <c r="N223" s="67">
        <f>(H223)*'Billing Rate'!$B$1</f>
        <v>267.5215033</v>
      </c>
      <c r="O223" s="25">
        <f t="shared" si="135"/>
        <v>150.5807825</v>
      </c>
      <c r="P223" s="81">
        <f t="shared" si="136"/>
        <v>418.1022857</v>
      </c>
      <c r="Q223" s="25">
        <f t="shared" si="137"/>
        <v>20.90511429</v>
      </c>
      <c r="R223" s="81">
        <f t="shared" si="138"/>
        <v>439.0074</v>
      </c>
    </row>
    <row r="224">
      <c r="A224" s="12"/>
      <c r="B224" s="80" t="s">
        <v>127</v>
      </c>
      <c r="C224" s="87">
        <v>31.0</v>
      </c>
      <c r="D224" s="86">
        <v>0.6680541666666667</v>
      </c>
      <c r="E224" s="88">
        <v>0.01559005293</v>
      </c>
      <c r="F224" s="89">
        <f t="shared" si="131"/>
        <v>949.4257274</v>
      </c>
      <c r="G224" s="81">
        <v>5490.0</v>
      </c>
      <c r="H224" s="81">
        <f t="shared" si="132"/>
        <v>4540.574273</v>
      </c>
      <c r="I224" s="25">
        <f t="shared" si="133"/>
        <v>3966.723139</v>
      </c>
      <c r="J224" s="64">
        <f>C224*'Rate Codes'!$D$7</f>
        <v>53.490035</v>
      </c>
      <c r="K224" s="25">
        <f>I224*'Rate Codes'!$D$8</f>
        <v>51.38096481</v>
      </c>
      <c r="L224" s="81">
        <f t="shared" si="134"/>
        <v>104.8709998</v>
      </c>
      <c r="M224" s="66">
        <f>I224*'Rate Codes'!$D$8</f>
        <v>51.38096481</v>
      </c>
      <c r="N224" s="67">
        <f>(H224)*'Billing Rate'!$B$1</f>
        <v>308.7590505</v>
      </c>
      <c r="O224" s="25">
        <f t="shared" si="135"/>
        <v>156.2519646</v>
      </c>
      <c r="P224" s="81">
        <f t="shared" si="136"/>
        <v>465.0110152</v>
      </c>
      <c r="Q224" s="25">
        <f t="shared" si="137"/>
        <v>23.25055076</v>
      </c>
      <c r="R224" s="81">
        <f t="shared" si="138"/>
        <v>488.2615659</v>
      </c>
    </row>
    <row r="225">
      <c r="A225" s="12"/>
      <c r="B225" s="77" t="s">
        <v>109</v>
      </c>
      <c r="C225" s="82"/>
      <c r="D225" s="83"/>
      <c r="E225" s="83">
        <f t="shared" ref="E225:N225" si="139">SUM(E213:E224)</f>
        <v>1</v>
      </c>
      <c r="F225" s="84">
        <f t="shared" si="139"/>
        <v>60899.45504</v>
      </c>
      <c r="G225" s="85">
        <f t="shared" si="139"/>
        <v>66307</v>
      </c>
      <c r="H225" s="85">
        <f t="shared" si="139"/>
        <v>5407.544962</v>
      </c>
      <c r="I225" s="48">
        <f t="shared" si="139"/>
        <v>35178.95935</v>
      </c>
      <c r="J225" s="85">
        <f t="shared" si="139"/>
        <v>629.802025</v>
      </c>
      <c r="K225" s="85">
        <f t="shared" si="139"/>
        <v>455.6730604</v>
      </c>
      <c r="L225" s="85">
        <f t="shared" si="139"/>
        <v>1085.475085</v>
      </c>
      <c r="M225" s="85">
        <f t="shared" si="139"/>
        <v>455.6730604</v>
      </c>
      <c r="N225" s="85">
        <f t="shared" si="139"/>
        <v>367.7130574</v>
      </c>
      <c r="O225" s="48">
        <f t="shared" si="135"/>
        <v>1541.148146</v>
      </c>
      <c r="P225" s="85">
        <f t="shared" ref="P225:R225" si="140">SUM(P213:P224)</f>
        <v>1908.861203</v>
      </c>
      <c r="Q225" s="85">
        <f t="shared" si="140"/>
        <v>134.1181644</v>
      </c>
      <c r="R225" s="85">
        <f t="shared" si="140"/>
        <v>2042.979368</v>
      </c>
    </row>
    <row r="227">
      <c r="A227" s="76">
        <v>14.0</v>
      </c>
      <c r="B227" s="12" t="s">
        <v>128</v>
      </c>
      <c r="C227" s="12"/>
      <c r="D227" s="15"/>
      <c r="E227" s="15">
        <f>$E$1* POW((1 -$H$1),A227)</f>
        <v>60594.95776</v>
      </c>
      <c r="F227" s="1" t="s">
        <v>132</v>
      </c>
      <c r="G227" s="8">
        <f>E227/G241</f>
        <v>0.9138546121</v>
      </c>
      <c r="H227" s="1" t="s">
        <v>133</v>
      </c>
      <c r="I227" s="6">
        <f>1-G227</f>
        <v>0.08614538794</v>
      </c>
      <c r="J227" s="12" t="s">
        <v>74</v>
      </c>
      <c r="M227" s="12" t="s">
        <v>78</v>
      </c>
      <c r="N227" s="12"/>
      <c r="O227" s="12"/>
      <c r="P227" s="12"/>
      <c r="Q227" s="12"/>
      <c r="R227" s="12"/>
    </row>
    <row r="228">
      <c r="A228" s="12"/>
      <c r="B228" s="77" t="s">
        <v>83</v>
      </c>
      <c r="C228" s="78" t="s">
        <v>88</v>
      </c>
      <c r="D228" s="44" t="s">
        <v>87</v>
      </c>
      <c r="E228" s="77" t="s">
        <v>140</v>
      </c>
      <c r="F228" s="77" t="s">
        <v>135</v>
      </c>
      <c r="G228" s="78" t="s">
        <v>89</v>
      </c>
      <c r="H228" s="78" t="s">
        <v>138</v>
      </c>
      <c r="I228" s="20" t="s">
        <v>139</v>
      </c>
      <c r="J228" s="78" t="s">
        <v>76</v>
      </c>
      <c r="K228" s="78" t="s">
        <v>82</v>
      </c>
      <c r="L228" s="78" t="s">
        <v>109</v>
      </c>
      <c r="M228" s="78" t="s">
        <v>80</v>
      </c>
      <c r="N228" s="78" t="s">
        <v>67</v>
      </c>
      <c r="O228" s="45" t="s">
        <v>114</v>
      </c>
      <c r="P228" s="79" t="s">
        <v>115</v>
      </c>
      <c r="Q228" s="79" t="s">
        <v>60</v>
      </c>
      <c r="R228" s="79" t="s">
        <v>109</v>
      </c>
    </row>
    <row r="229">
      <c r="A229" s="12"/>
      <c r="B229" s="80" t="s">
        <v>117</v>
      </c>
      <c r="C229" s="87">
        <v>31.0</v>
      </c>
      <c r="D229" s="86">
        <v>0.6479166666666667</v>
      </c>
      <c r="E229" s="88">
        <v>0.02731296772</v>
      </c>
      <c r="F229" s="89">
        <f t="shared" ref="F229:F240" si="141">$E$227*E229</f>
        <v>1655.028125</v>
      </c>
      <c r="G229" s="81">
        <v>5726.0</v>
      </c>
      <c r="H229" s="81">
        <f t="shared" ref="H229:H240" si="142">G229-F229</f>
        <v>4070.971875</v>
      </c>
      <c r="I229" s="25">
        <f t="shared" ref="I229:I240" si="143">D229*G229*(1+$I$227)</f>
        <v>4029.56771</v>
      </c>
      <c r="J229" s="64">
        <f>C229*'Rate Codes'!$D$7</f>
        <v>53.490035</v>
      </c>
      <c r="K229" s="25">
        <f>I229*'Rate Codes'!$D$8</f>
        <v>52.19499055</v>
      </c>
      <c r="L229" s="81">
        <f t="shared" ref="L229:L240" si="144">SUM(J229:K229)</f>
        <v>105.6850255</v>
      </c>
      <c r="M229" s="66">
        <f>I229*'Rate Codes'!$D$8</f>
        <v>52.19499055</v>
      </c>
      <c r="N229" s="67">
        <f>(H229)*'Billing Rate'!$B$1</f>
        <v>276.8260875</v>
      </c>
      <c r="O229" s="25">
        <f t="shared" ref="O229:O241" si="145">L229+M229</f>
        <v>157.8800161</v>
      </c>
      <c r="P229" s="81">
        <f t="shared" ref="P229:P240" si="146">N229+L229+M229</f>
        <v>434.7061036</v>
      </c>
      <c r="Q229" s="25">
        <f t="shared" ref="Q229:Q240" si="147">(IF(N229&gt;0,N229,0)+O229)*0.05</f>
        <v>21.73530518</v>
      </c>
      <c r="R229" s="81">
        <f t="shared" ref="R229:R240" si="148">P229+Q229</f>
        <v>456.4414088</v>
      </c>
    </row>
    <row r="230">
      <c r="A230" s="12"/>
      <c r="B230" s="80" t="s">
        <v>118</v>
      </c>
      <c r="C230" s="87">
        <v>28.0</v>
      </c>
      <c r="D230" s="86">
        <v>0.5868041666666667</v>
      </c>
      <c r="E230" s="88">
        <v>0.04620731865</v>
      </c>
      <c r="F230" s="89">
        <f t="shared" si="141"/>
        <v>2799.930522</v>
      </c>
      <c r="G230" s="81">
        <v>5279.0</v>
      </c>
      <c r="H230" s="81">
        <f t="shared" si="142"/>
        <v>2479.069478</v>
      </c>
      <c r="I230" s="25">
        <f t="shared" si="143"/>
        <v>3364.595141</v>
      </c>
      <c r="J230" s="64">
        <f>C230*'Rate Codes'!$D$7</f>
        <v>48.31358</v>
      </c>
      <c r="K230" s="25">
        <f>I230*'Rate Codes'!$D$8</f>
        <v>43.58160086</v>
      </c>
      <c r="L230" s="81">
        <f t="shared" si="144"/>
        <v>91.89518086</v>
      </c>
      <c r="M230" s="66">
        <f>I230*'Rate Codes'!$D$8</f>
        <v>43.58160086</v>
      </c>
      <c r="N230" s="67">
        <f>(H230)*'Billing Rate'!$B$1</f>
        <v>168.5767245</v>
      </c>
      <c r="O230" s="25">
        <f t="shared" si="145"/>
        <v>135.4767817</v>
      </c>
      <c r="P230" s="81">
        <f t="shared" si="146"/>
        <v>304.0535062</v>
      </c>
      <c r="Q230" s="25">
        <f t="shared" si="147"/>
        <v>15.20267531</v>
      </c>
      <c r="R230" s="81">
        <f t="shared" si="148"/>
        <v>319.2561815</v>
      </c>
    </row>
    <row r="231">
      <c r="A231" s="12"/>
      <c r="B231" s="80" t="s">
        <v>119</v>
      </c>
      <c r="C231" s="87">
        <v>31.0</v>
      </c>
      <c r="D231" s="86">
        <v>0.5083333333333333</v>
      </c>
      <c r="E231" s="88">
        <v>0.08500831624</v>
      </c>
      <c r="F231" s="89">
        <f t="shared" si="141"/>
        <v>5151.075332</v>
      </c>
      <c r="G231" s="81">
        <v>4991.0</v>
      </c>
      <c r="H231" s="81">
        <f t="shared" si="142"/>
        <v>-160.075332</v>
      </c>
      <c r="I231" s="25">
        <f t="shared" si="143"/>
        <v>2755.650413</v>
      </c>
      <c r="J231" s="64">
        <f>C231*'Rate Codes'!$D$7</f>
        <v>53.490035</v>
      </c>
      <c r="K231" s="25">
        <f>I231*'Rate Codes'!$D$8</f>
        <v>35.69393979</v>
      </c>
      <c r="L231" s="81">
        <f t="shared" si="144"/>
        <v>89.18397479</v>
      </c>
      <c r="M231" s="66">
        <f>I231*'Rate Codes'!$D$8</f>
        <v>35.69393979</v>
      </c>
      <c r="N231" s="67">
        <f>(H231)*'Billing Rate'!$B$1</f>
        <v>-10.88512257</v>
      </c>
      <c r="O231" s="25">
        <f t="shared" si="145"/>
        <v>124.8779146</v>
      </c>
      <c r="P231" s="81">
        <f t="shared" si="146"/>
        <v>113.992792</v>
      </c>
      <c r="Q231" s="25">
        <f t="shared" si="147"/>
        <v>6.243895729</v>
      </c>
      <c r="R231" s="81">
        <f t="shared" si="148"/>
        <v>120.2366877</v>
      </c>
    </row>
    <row r="232">
      <c r="A232" s="12"/>
      <c r="B232" s="80" t="s">
        <v>120</v>
      </c>
      <c r="C232" s="87">
        <v>30.0</v>
      </c>
      <c r="D232" s="86">
        <v>0.425</v>
      </c>
      <c r="E232" s="88">
        <v>0.108773175</v>
      </c>
      <c r="F232" s="89">
        <f t="shared" si="141"/>
        <v>6591.105945</v>
      </c>
      <c r="G232" s="81">
        <v>4952.0</v>
      </c>
      <c r="H232" s="81">
        <f t="shared" si="142"/>
        <v>-1639.105945</v>
      </c>
      <c r="I232" s="25">
        <f t="shared" si="143"/>
        <v>2285.901583</v>
      </c>
      <c r="J232" s="64">
        <f>C232*'Rate Codes'!$D$7</f>
        <v>51.76455</v>
      </c>
      <c r="K232" s="25">
        <f>I232*'Rate Codes'!$D$8</f>
        <v>29.60928321</v>
      </c>
      <c r="L232" s="81">
        <f t="shared" si="144"/>
        <v>81.37383321</v>
      </c>
      <c r="M232" s="66">
        <f>I232*'Rate Codes'!$D$8</f>
        <v>29.60928321</v>
      </c>
      <c r="N232" s="67">
        <f>(H232)*'Billing Rate'!$B$1</f>
        <v>-111.4592042</v>
      </c>
      <c r="O232" s="25">
        <f t="shared" si="145"/>
        <v>110.9831164</v>
      </c>
      <c r="P232" s="81">
        <f t="shared" si="146"/>
        <v>-0.476087823</v>
      </c>
      <c r="Q232" s="25">
        <f t="shared" si="147"/>
        <v>5.549155821</v>
      </c>
      <c r="R232" s="81">
        <f t="shared" si="148"/>
        <v>5.073067998</v>
      </c>
    </row>
    <row r="233">
      <c r="A233" s="12"/>
      <c r="B233" s="80" t="s">
        <v>98</v>
      </c>
      <c r="C233" s="87">
        <v>31.0</v>
      </c>
      <c r="D233" s="86">
        <v>0.35277916666666664</v>
      </c>
      <c r="E233" s="88">
        <v>0.1281742617</v>
      </c>
      <c r="F233" s="89">
        <f t="shared" si="141"/>
        <v>7766.713974</v>
      </c>
      <c r="G233" s="81">
        <v>5559.0</v>
      </c>
      <c r="H233" s="81">
        <f t="shared" si="142"/>
        <v>-2207.713974</v>
      </c>
      <c r="I233" s="25">
        <f t="shared" si="143"/>
        <v>2130.039055</v>
      </c>
      <c r="J233" s="64">
        <f>C233*'Rate Codes'!$D$7</f>
        <v>53.490035</v>
      </c>
      <c r="K233" s="25">
        <f>I233*'Rate Codes'!$D$8</f>
        <v>27.59039588</v>
      </c>
      <c r="L233" s="81">
        <f t="shared" si="144"/>
        <v>81.08043088</v>
      </c>
      <c r="M233" s="66">
        <f>I233*'Rate Codes'!$D$8</f>
        <v>27.59039588</v>
      </c>
      <c r="N233" s="67">
        <f>(H233)*'Billing Rate'!$B$1</f>
        <v>-150.1245502</v>
      </c>
      <c r="O233" s="25">
        <f t="shared" si="145"/>
        <v>108.6708268</v>
      </c>
      <c r="P233" s="81">
        <f t="shared" si="146"/>
        <v>-41.45372346</v>
      </c>
      <c r="Q233" s="25">
        <f t="shared" si="147"/>
        <v>5.433541338</v>
      </c>
      <c r="R233" s="81">
        <f t="shared" si="148"/>
        <v>-36.02018213</v>
      </c>
    </row>
    <row r="234">
      <c r="A234" s="12"/>
      <c r="B234" s="80" t="s">
        <v>121</v>
      </c>
      <c r="C234" s="87">
        <v>30.0</v>
      </c>
      <c r="D234" s="86">
        <v>0.31388750000000004</v>
      </c>
      <c r="E234" s="88">
        <v>0.1254860808</v>
      </c>
      <c r="F234" s="89">
        <f t="shared" si="141"/>
        <v>7603.823766</v>
      </c>
      <c r="G234" s="81">
        <v>4964.0</v>
      </c>
      <c r="H234" s="81">
        <f t="shared" si="142"/>
        <v>-2639.823766</v>
      </c>
      <c r="I234" s="25">
        <f t="shared" si="143"/>
        <v>1692.363914</v>
      </c>
      <c r="J234" s="64">
        <f>C234*'Rate Codes'!$D$7</f>
        <v>51.76455</v>
      </c>
      <c r="K234" s="25">
        <f>I234*'Rate Codes'!$D$8</f>
        <v>21.92118977</v>
      </c>
      <c r="L234" s="81">
        <f t="shared" si="144"/>
        <v>73.68573977</v>
      </c>
      <c r="M234" s="66">
        <f>I234*'Rate Codes'!$D$8</f>
        <v>21.92118977</v>
      </c>
      <c r="N234" s="67">
        <f>(H234)*'Billing Rate'!$B$1</f>
        <v>-179.5080161</v>
      </c>
      <c r="O234" s="25">
        <f t="shared" si="145"/>
        <v>95.60692955</v>
      </c>
      <c r="P234" s="81">
        <f t="shared" si="146"/>
        <v>-83.90108653</v>
      </c>
      <c r="Q234" s="25">
        <f t="shared" si="147"/>
        <v>4.780346477</v>
      </c>
      <c r="R234" s="81">
        <f t="shared" si="148"/>
        <v>-79.12074005</v>
      </c>
    </row>
    <row r="235">
      <c r="A235" s="12"/>
      <c r="B235" s="80" t="s">
        <v>122</v>
      </c>
      <c r="C235" s="87">
        <v>31.0</v>
      </c>
      <c r="D235" s="86">
        <v>0.33125</v>
      </c>
      <c r="E235" s="88">
        <v>0.1449493112</v>
      </c>
      <c r="F235" s="89">
        <f t="shared" si="141"/>
        <v>8783.19739</v>
      </c>
      <c r="G235" s="81">
        <v>6634.0</v>
      </c>
      <c r="H235" s="81">
        <f t="shared" si="142"/>
        <v>-2149.19739</v>
      </c>
      <c r="I235" s="25">
        <f t="shared" si="143"/>
        <v>2386.818067</v>
      </c>
      <c r="J235" s="64">
        <f>C235*'Rate Codes'!$D$7</f>
        <v>53.490035</v>
      </c>
      <c r="K235" s="25">
        <f>I235*'Rate Codes'!$D$8</f>
        <v>30.91645442</v>
      </c>
      <c r="L235" s="81">
        <f t="shared" si="144"/>
        <v>84.40648942</v>
      </c>
      <c r="M235" s="66">
        <f>I235*'Rate Codes'!$D$8</f>
        <v>30.91645442</v>
      </c>
      <c r="N235" s="67">
        <f>(H235)*'Billing Rate'!$B$1</f>
        <v>-146.1454225</v>
      </c>
      <c r="O235" s="25">
        <f t="shared" si="145"/>
        <v>115.3229438</v>
      </c>
      <c r="P235" s="81">
        <f t="shared" si="146"/>
        <v>-30.82247867</v>
      </c>
      <c r="Q235" s="25">
        <f t="shared" si="147"/>
        <v>5.766147192</v>
      </c>
      <c r="R235" s="81">
        <f t="shared" si="148"/>
        <v>-25.05633148</v>
      </c>
    </row>
    <row r="236">
      <c r="A236" s="12"/>
      <c r="B236" s="80" t="s">
        <v>123</v>
      </c>
      <c r="C236" s="87">
        <v>31.0</v>
      </c>
      <c r="D236" s="86">
        <v>0.3951375</v>
      </c>
      <c r="E236" s="88">
        <v>0.1246952409</v>
      </c>
      <c r="F236" s="89">
        <f t="shared" si="141"/>
        <v>7555.902855</v>
      </c>
      <c r="G236" s="81">
        <v>5909.0</v>
      </c>
      <c r="H236" s="81">
        <f t="shared" si="142"/>
        <v>-1646.902855</v>
      </c>
      <c r="I236" s="25">
        <f t="shared" si="143"/>
        <v>2536.005553</v>
      </c>
      <c r="J236" s="64">
        <f>C236*'Rate Codes'!$D$7</f>
        <v>53.490035</v>
      </c>
      <c r="K236" s="25">
        <f>I236*'Rate Codes'!$D$8</f>
        <v>32.84887993</v>
      </c>
      <c r="L236" s="81">
        <f t="shared" si="144"/>
        <v>86.33891493</v>
      </c>
      <c r="M236" s="66">
        <f>I236*'Rate Codes'!$D$8</f>
        <v>32.84887993</v>
      </c>
      <c r="N236" s="67">
        <f>(H236)*'Billing Rate'!$B$1</f>
        <v>-111.9893942</v>
      </c>
      <c r="O236" s="25">
        <f t="shared" si="145"/>
        <v>119.1877949</v>
      </c>
      <c r="P236" s="81">
        <f t="shared" si="146"/>
        <v>7.198400685</v>
      </c>
      <c r="Q236" s="25">
        <f t="shared" si="147"/>
        <v>5.959389743</v>
      </c>
      <c r="R236" s="81">
        <f t="shared" si="148"/>
        <v>13.15779043</v>
      </c>
    </row>
    <row r="237">
      <c r="A237" s="12"/>
      <c r="B237" s="80" t="s">
        <v>124</v>
      </c>
      <c r="C237" s="87">
        <v>30.0</v>
      </c>
      <c r="D237" s="86">
        <v>0.4756958333333334</v>
      </c>
      <c r="E237" s="88">
        <v>0.09825803101</v>
      </c>
      <c r="F237" s="89">
        <f t="shared" si="141"/>
        <v>5953.941239</v>
      </c>
      <c r="G237" s="81">
        <v>5270.0</v>
      </c>
      <c r="H237" s="81">
        <f t="shared" si="142"/>
        <v>-683.9412388</v>
      </c>
      <c r="I237" s="25">
        <f t="shared" si="143"/>
        <v>2722.876383</v>
      </c>
      <c r="J237" s="64">
        <f>C237*'Rate Codes'!$D$7</f>
        <v>51.76455</v>
      </c>
      <c r="K237" s="25">
        <f>I237*'Rate Codes'!$D$8</f>
        <v>35.26941779</v>
      </c>
      <c r="L237" s="81">
        <f t="shared" si="144"/>
        <v>87.03396779</v>
      </c>
      <c r="M237" s="66">
        <f>I237*'Rate Codes'!$D$8</f>
        <v>35.26941779</v>
      </c>
      <c r="N237" s="67">
        <f>(H237)*'Billing Rate'!$B$1</f>
        <v>-46.50800424</v>
      </c>
      <c r="O237" s="25">
        <f t="shared" si="145"/>
        <v>122.3033856</v>
      </c>
      <c r="P237" s="81">
        <f t="shared" si="146"/>
        <v>75.79538133</v>
      </c>
      <c r="Q237" s="25">
        <f t="shared" si="147"/>
        <v>6.115169279</v>
      </c>
      <c r="R237" s="81">
        <f t="shared" si="148"/>
        <v>81.91055061</v>
      </c>
    </row>
    <row r="238">
      <c r="A238" s="12"/>
      <c r="B238" s="80" t="s">
        <v>125</v>
      </c>
      <c r="C238" s="87">
        <v>31.0</v>
      </c>
      <c r="D238" s="86">
        <v>0.5590291666666667</v>
      </c>
      <c r="E238" s="88">
        <v>0.06840443866</v>
      </c>
      <c r="F238" s="89">
        <f t="shared" si="141"/>
        <v>4144.964071</v>
      </c>
      <c r="G238" s="81">
        <v>5946.0</v>
      </c>
      <c r="H238" s="81">
        <f t="shared" si="142"/>
        <v>1801.035929</v>
      </c>
      <c r="I238" s="25">
        <f t="shared" si="143"/>
        <v>3610.333611</v>
      </c>
      <c r="J238" s="64">
        <f>C238*'Rate Codes'!$D$7</f>
        <v>53.490035</v>
      </c>
      <c r="K238" s="25">
        <f>I238*'Rate Codes'!$D$8</f>
        <v>46.76465127</v>
      </c>
      <c r="L238" s="81">
        <f t="shared" si="144"/>
        <v>100.2546863</v>
      </c>
      <c r="M238" s="66">
        <f>I238*'Rate Codes'!$D$8</f>
        <v>46.76465127</v>
      </c>
      <c r="N238" s="67">
        <f>(H238)*'Billing Rate'!$B$1</f>
        <v>122.4704431</v>
      </c>
      <c r="O238" s="25">
        <f t="shared" si="145"/>
        <v>147.0193375</v>
      </c>
      <c r="P238" s="81">
        <f t="shared" si="146"/>
        <v>269.4897807</v>
      </c>
      <c r="Q238" s="25">
        <f t="shared" si="147"/>
        <v>13.47448903</v>
      </c>
      <c r="R238" s="81">
        <f t="shared" si="148"/>
        <v>282.9642697</v>
      </c>
    </row>
    <row r="239">
      <c r="A239" s="12"/>
      <c r="B239" s="80" t="s">
        <v>126</v>
      </c>
      <c r="C239" s="87">
        <v>30.0</v>
      </c>
      <c r="D239" s="86">
        <v>0.63125</v>
      </c>
      <c r="E239" s="88">
        <v>0.0271408052</v>
      </c>
      <c r="F239" s="89">
        <f t="shared" si="141"/>
        <v>1644.595945</v>
      </c>
      <c r="G239" s="81">
        <v>5587.0</v>
      </c>
      <c r="H239" s="81">
        <f t="shared" si="142"/>
        <v>3942.404055</v>
      </c>
      <c r="I239" s="25">
        <f t="shared" si="143"/>
        <v>3830.610766</v>
      </c>
      <c r="J239" s="64">
        <f>C239*'Rate Codes'!$D$7</f>
        <v>51.76455</v>
      </c>
      <c r="K239" s="25">
        <f>I239*'Rate Codes'!$D$8</f>
        <v>49.61790125</v>
      </c>
      <c r="L239" s="81">
        <f t="shared" si="144"/>
        <v>101.3824512</v>
      </c>
      <c r="M239" s="66">
        <f>I239*'Rate Codes'!$D$8</f>
        <v>49.61790125</v>
      </c>
      <c r="N239" s="67">
        <f>(H239)*'Billing Rate'!$B$1</f>
        <v>268.0834758</v>
      </c>
      <c r="O239" s="25">
        <f t="shared" si="145"/>
        <v>151.0003525</v>
      </c>
      <c r="P239" s="81">
        <f t="shared" si="146"/>
        <v>419.0838283</v>
      </c>
      <c r="Q239" s="25">
        <f t="shared" si="147"/>
        <v>20.95419141</v>
      </c>
      <c r="R239" s="81">
        <f t="shared" si="148"/>
        <v>440.0380197</v>
      </c>
    </row>
    <row r="240">
      <c r="A240" s="12"/>
      <c r="B240" s="80" t="s">
        <v>127</v>
      </c>
      <c r="C240" s="87">
        <v>31.0</v>
      </c>
      <c r="D240" s="86">
        <v>0.6680541666666667</v>
      </c>
      <c r="E240" s="88">
        <v>0.01559005293</v>
      </c>
      <c r="F240" s="89">
        <f t="shared" si="141"/>
        <v>944.6785988</v>
      </c>
      <c r="G240" s="81">
        <v>5490.0</v>
      </c>
      <c r="H240" s="81">
        <f t="shared" si="142"/>
        <v>4545.321401</v>
      </c>
      <c r="I240" s="25">
        <f t="shared" si="143"/>
        <v>3983.565697</v>
      </c>
      <c r="J240" s="64">
        <f>C240*'Rate Codes'!$D$7</f>
        <v>53.490035</v>
      </c>
      <c r="K240" s="25">
        <f>I240*'Rate Codes'!$D$8</f>
        <v>51.59912647</v>
      </c>
      <c r="L240" s="81">
        <f t="shared" si="144"/>
        <v>105.0891615</v>
      </c>
      <c r="M240" s="66">
        <f>I240*'Rate Codes'!$D$8</f>
        <v>51.59912647</v>
      </c>
      <c r="N240" s="67">
        <f>(H240)*'Billing Rate'!$B$1</f>
        <v>309.0818553</v>
      </c>
      <c r="O240" s="25">
        <f t="shared" si="145"/>
        <v>156.6882879</v>
      </c>
      <c r="P240" s="81">
        <f t="shared" si="146"/>
        <v>465.7701432</v>
      </c>
      <c r="Q240" s="25">
        <f t="shared" si="147"/>
        <v>23.28850716</v>
      </c>
      <c r="R240" s="81">
        <f t="shared" si="148"/>
        <v>489.0586504</v>
      </c>
    </row>
    <row r="241">
      <c r="A241" s="12"/>
      <c r="B241" s="77" t="s">
        <v>109</v>
      </c>
      <c r="C241" s="82"/>
      <c r="D241" s="83"/>
      <c r="E241" s="83">
        <f t="shared" ref="E241:N241" si="149">SUM(E229:E240)</f>
        <v>1</v>
      </c>
      <c r="F241" s="84">
        <f t="shared" si="149"/>
        <v>60594.95776</v>
      </c>
      <c r="G241" s="85">
        <f t="shared" si="149"/>
        <v>66307</v>
      </c>
      <c r="H241" s="85">
        <f t="shared" si="149"/>
        <v>5712.042237</v>
      </c>
      <c r="I241" s="48">
        <f t="shared" si="149"/>
        <v>35328.32789</v>
      </c>
      <c r="J241" s="85">
        <f t="shared" si="149"/>
        <v>629.802025</v>
      </c>
      <c r="K241" s="85">
        <f t="shared" si="149"/>
        <v>457.6078312</v>
      </c>
      <c r="L241" s="85">
        <f t="shared" si="149"/>
        <v>1087.409856</v>
      </c>
      <c r="M241" s="85">
        <f t="shared" si="149"/>
        <v>457.6078312</v>
      </c>
      <c r="N241" s="85">
        <f t="shared" si="149"/>
        <v>388.4188721</v>
      </c>
      <c r="O241" s="48">
        <f t="shared" si="145"/>
        <v>1545.017687</v>
      </c>
      <c r="P241" s="85">
        <f t="shared" ref="P241:R241" si="150">SUM(P229:P240)</f>
        <v>1933.436559</v>
      </c>
      <c r="Q241" s="85">
        <f t="shared" si="150"/>
        <v>134.5028137</v>
      </c>
      <c r="R241" s="85">
        <f t="shared" si="150"/>
        <v>2067.939373</v>
      </c>
    </row>
    <row r="243">
      <c r="A243" s="76">
        <v>15.0</v>
      </c>
      <c r="B243" s="12" t="s">
        <v>128</v>
      </c>
      <c r="C243" s="12"/>
      <c r="D243" s="15"/>
      <c r="E243" s="15">
        <f>$E$1* POW((1 -$H$1),A243)</f>
        <v>60291.98297</v>
      </c>
      <c r="F243" s="1" t="s">
        <v>132</v>
      </c>
      <c r="G243" s="8">
        <f>E243/G257</f>
        <v>0.909285339</v>
      </c>
      <c r="H243" s="1" t="s">
        <v>133</v>
      </c>
      <c r="I243" s="6">
        <f>1-G243</f>
        <v>0.090714661</v>
      </c>
      <c r="J243" s="12" t="s">
        <v>74</v>
      </c>
      <c r="M243" s="12" t="s">
        <v>78</v>
      </c>
      <c r="N243" s="12"/>
      <c r="O243" s="12"/>
      <c r="P243" s="12"/>
      <c r="Q243" s="12"/>
      <c r="R243" s="12"/>
    </row>
    <row r="244">
      <c r="A244" s="12"/>
      <c r="B244" s="77" t="s">
        <v>83</v>
      </c>
      <c r="C244" s="78" t="s">
        <v>88</v>
      </c>
      <c r="D244" s="44" t="s">
        <v>87</v>
      </c>
      <c r="E244" s="77" t="s">
        <v>140</v>
      </c>
      <c r="F244" s="77" t="s">
        <v>135</v>
      </c>
      <c r="G244" s="78" t="s">
        <v>89</v>
      </c>
      <c r="H244" s="78" t="s">
        <v>138</v>
      </c>
      <c r="I244" s="20" t="s">
        <v>139</v>
      </c>
      <c r="J244" s="78" t="s">
        <v>76</v>
      </c>
      <c r="K244" s="78" t="s">
        <v>82</v>
      </c>
      <c r="L244" s="78" t="s">
        <v>109</v>
      </c>
      <c r="M244" s="78" t="s">
        <v>80</v>
      </c>
      <c r="N244" s="78" t="s">
        <v>67</v>
      </c>
      <c r="O244" s="45" t="s">
        <v>114</v>
      </c>
      <c r="P244" s="79" t="s">
        <v>115</v>
      </c>
      <c r="Q244" s="79" t="s">
        <v>60</v>
      </c>
      <c r="R244" s="79" t="s">
        <v>109</v>
      </c>
    </row>
    <row r="245">
      <c r="A245" s="12"/>
      <c r="B245" s="80" t="s">
        <v>117</v>
      </c>
      <c r="C245" s="87">
        <v>31.0</v>
      </c>
      <c r="D245" s="86">
        <v>0.6479166666666667</v>
      </c>
      <c r="E245" s="88">
        <v>0.02731296772</v>
      </c>
      <c r="F245" s="89">
        <f t="shared" ref="F245:F256" si="151">$E$243*E245</f>
        <v>1646.752985</v>
      </c>
      <c r="G245" s="81">
        <v>5726.0</v>
      </c>
      <c r="H245" s="81">
        <f t="shared" ref="H245:H256" si="152">G245-F245</f>
        <v>4079.247015</v>
      </c>
      <c r="I245" s="25">
        <f t="shared" ref="I245:I256" si="153">D245*G245*(1+$I$243)</f>
        <v>4046.51958</v>
      </c>
      <c r="J245" s="64">
        <f>C245*'Rate Codes'!$D$7</f>
        <v>53.490035</v>
      </c>
      <c r="K245" s="25">
        <f>I245*'Rate Codes'!$D$8</f>
        <v>52.41456812</v>
      </c>
      <c r="L245" s="81">
        <f t="shared" ref="L245:L256" si="154">SUM(J245:K245)</f>
        <v>105.9046031</v>
      </c>
      <c r="M245" s="66">
        <f>I245*'Rate Codes'!$D$8</f>
        <v>52.41456812</v>
      </c>
      <c r="N245" s="67">
        <f>(H245)*'Billing Rate'!$B$1</f>
        <v>277.388797</v>
      </c>
      <c r="O245" s="25">
        <f t="shared" ref="O245:O257" si="155">L245+M245</f>
        <v>158.3191712</v>
      </c>
      <c r="P245" s="81">
        <f t="shared" ref="P245:P256" si="156">N245+L245+M245</f>
        <v>435.7079683</v>
      </c>
      <c r="Q245" s="25">
        <f t="shared" ref="Q245:Q256" si="157">(IF(N245&gt;0,N245,0)+O245)*0.05</f>
        <v>21.78539841</v>
      </c>
      <c r="R245" s="81">
        <f t="shared" ref="R245:R256" si="158">P245+Q245</f>
        <v>457.4933667</v>
      </c>
    </row>
    <row r="246">
      <c r="A246" s="12"/>
      <c r="B246" s="80" t="s">
        <v>118</v>
      </c>
      <c r="C246" s="87">
        <v>28.0</v>
      </c>
      <c r="D246" s="86">
        <v>0.5868041666666667</v>
      </c>
      <c r="E246" s="88">
        <v>0.04620731865</v>
      </c>
      <c r="F246" s="89">
        <f t="shared" si="151"/>
        <v>2785.930869</v>
      </c>
      <c r="G246" s="81">
        <v>5279.0</v>
      </c>
      <c r="H246" s="81">
        <f t="shared" si="152"/>
        <v>2493.069131</v>
      </c>
      <c r="I246" s="25">
        <f t="shared" si="153"/>
        <v>3378.749557</v>
      </c>
      <c r="J246" s="64">
        <f>C246*'Rate Codes'!$D$7</f>
        <v>48.31358</v>
      </c>
      <c r="K246" s="25">
        <f>I246*'Rate Codes'!$D$8</f>
        <v>43.76494301</v>
      </c>
      <c r="L246" s="81">
        <f t="shared" si="154"/>
        <v>92.07852301</v>
      </c>
      <c r="M246" s="66">
        <f>I246*'Rate Codes'!$D$8</f>
        <v>43.76494301</v>
      </c>
      <c r="N246" s="67">
        <f>(H246)*'Billing Rate'!$B$1</f>
        <v>169.5287009</v>
      </c>
      <c r="O246" s="25">
        <f t="shared" si="155"/>
        <v>135.843466</v>
      </c>
      <c r="P246" s="81">
        <f t="shared" si="156"/>
        <v>305.3721669</v>
      </c>
      <c r="Q246" s="25">
        <f t="shared" si="157"/>
        <v>15.26860835</v>
      </c>
      <c r="R246" s="81">
        <f t="shared" si="158"/>
        <v>320.6407753</v>
      </c>
    </row>
    <row r="247">
      <c r="A247" s="12"/>
      <c r="B247" s="80" t="s">
        <v>119</v>
      </c>
      <c r="C247" s="87">
        <v>31.0</v>
      </c>
      <c r="D247" s="86">
        <v>0.5083333333333333</v>
      </c>
      <c r="E247" s="88">
        <v>0.08500831624</v>
      </c>
      <c r="F247" s="89">
        <f t="shared" si="151"/>
        <v>5125.319955</v>
      </c>
      <c r="G247" s="81">
        <v>4991.0</v>
      </c>
      <c r="H247" s="81">
        <f t="shared" si="152"/>
        <v>-134.3199553</v>
      </c>
      <c r="I247" s="25">
        <f t="shared" si="153"/>
        <v>2767.243077</v>
      </c>
      <c r="J247" s="64">
        <f>C247*'Rate Codes'!$D$7</f>
        <v>53.490035</v>
      </c>
      <c r="K247" s="25">
        <f>I247*'Rate Codes'!$D$8</f>
        <v>35.84409958</v>
      </c>
      <c r="L247" s="81">
        <f t="shared" si="154"/>
        <v>89.33413458</v>
      </c>
      <c r="M247" s="66">
        <f>I247*'Rate Codes'!$D$8</f>
        <v>35.84409958</v>
      </c>
      <c r="N247" s="67">
        <f>(H247)*'Billing Rate'!$B$1</f>
        <v>-9.133756962</v>
      </c>
      <c r="O247" s="25">
        <f t="shared" si="155"/>
        <v>125.1782342</v>
      </c>
      <c r="P247" s="81">
        <f t="shared" si="156"/>
        <v>116.0444772</v>
      </c>
      <c r="Q247" s="25">
        <f t="shared" si="157"/>
        <v>6.258911708</v>
      </c>
      <c r="R247" s="81">
        <f t="shared" si="158"/>
        <v>122.3033889</v>
      </c>
    </row>
    <row r="248">
      <c r="A248" s="12"/>
      <c r="B248" s="80" t="s">
        <v>120</v>
      </c>
      <c r="C248" s="87">
        <v>30.0</v>
      </c>
      <c r="D248" s="86">
        <v>0.425</v>
      </c>
      <c r="E248" s="88">
        <v>0.108773175</v>
      </c>
      <c r="F248" s="89">
        <f t="shared" si="151"/>
        <v>6558.150415</v>
      </c>
      <c r="G248" s="81">
        <v>4952.0</v>
      </c>
      <c r="H248" s="81">
        <f t="shared" si="152"/>
        <v>-1606.150415</v>
      </c>
      <c r="I248" s="25">
        <f t="shared" si="153"/>
        <v>2295.518076</v>
      </c>
      <c r="J248" s="64">
        <f>C248*'Rate Codes'!$D$7</f>
        <v>51.76455</v>
      </c>
      <c r="K248" s="25">
        <f>I248*'Rate Codes'!$D$8</f>
        <v>29.73384563</v>
      </c>
      <c r="L248" s="81">
        <f t="shared" si="154"/>
        <v>81.49839563</v>
      </c>
      <c r="M248" s="66">
        <f>I248*'Rate Codes'!$D$8</f>
        <v>29.73384563</v>
      </c>
      <c r="N248" s="67">
        <f>(H248)*'Billing Rate'!$B$1</f>
        <v>-109.2182282</v>
      </c>
      <c r="O248" s="25">
        <f t="shared" si="155"/>
        <v>111.2322413</v>
      </c>
      <c r="P248" s="81">
        <f t="shared" si="156"/>
        <v>2.014013042</v>
      </c>
      <c r="Q248" s="25">
        <f t="shared" si="157"/>
        <v>5.561612063</v>
      </c>
      <c r="R248" s="81">
        <f t="shared" si="158"/>
        <v>7.575625105</v>
      </c>
    </row>
    <row r="249">
      <c r="A249" s="12"/>
      <c r="B249" s="80" t="s">
        <v>98</v>
      </c>
      <c r="C249" s="87">
        <v>31.0</v>
      </c>
      <c r="D249" s="86">
        <v>0.35277916666666664</v>
      </c>
      <c r="E249" s="88">
        <v>0.1281742617</v>
      </c>
      <c r="F249" s="89">
        <f t="shared" si="151"/>
        <v>7727.880404</v>
      </c>
      <c r="G249" s="81">
        <v>5559.0</v>
      </c>
      <c r="H249" s="81">
        <f t="shared" si="152"/>
        <v>-2168.880404</v>
      </c>
      <c r="I249" s="25">
        <f t="shared" si="153"/>
        <v>2138.999854</v>
      </c>
      <c r="J249" s="64">
        <f>C249*'Rate Codes'!$D$7</f>
        <v>53.490035</v>
      </c>
      <c r="K249" s="25">
        <f>I249*'Rate Codes'!$D$8</f>
        <v>27.7064651</v>
      </c>
      <c r="L249" s="81">
        <f t="shared" si="154"/>
        <v>81.1965001</v>
      </c>
      <c r="M249" s="66">
        <f>I249*'Rate Codes'!$D$8</f>
        <v>27.7064651</v>
      </c>
      <c r="N249" s="67">
        <f>(H249)*'Billing Rate'!$B$1</f>
        <v>-147.4838675</v>
      </c>
      <c r="O249" s="25">
        <f t="shared" si="155"/>
        <v>108.9029652</v>
      </c>
      <c r="P249" s="81">
        <f t="shared" si="156"/>
        <v>-38.58090227</v>
      </c>
      <c r="Q249" s="25">
        <f t="shared" si="157"/>
        <v>5.44514826</v>
      </c>
      <c r="R249" s="81">
        <f t="shared" si="158"/>
        <v>-33.135754</v>
      </c>
    </row>
    <row r="250">
      <c r="A250" s="12"/>
      <c r="B250" s="80" t="s">
        <v>121</v>
      </c>
      <c r="C250" s="87">
        <v>30.0</v>
      </c>
      <c r="D250" s="86">
        <v>0.31388750000000004</v>
      </c>
      <c r="E250" s="88">
        <v>0.1254860808</v>
      </c>
      <c r="F250" s="89">
        <f t="shared" si="151"/>
        <v>7565.804647</v>
      </c>
      <c r="G250" s="81">
        <v>4964.0</v>
      </c>
      <c r="H250" s="81">
        <f t="shared" si="152"/>
        <v>-2601.804647</v>
      </c>
      <c r="I250" s="25">
        <f t="shared" si="153"/>
        <v>1699.48347</v>
      </c>
      <c r="J250" s="64">
        <f>C250*'Rate Codes'!$D$7</f>
        <v>51.76455</v>
      </c>
      <c r="K250" s="25">
        <f>I250*'Rate Codes'!$D$8</f>
        <v>22.01340938</v>
      </c>
      <c r="L250" s="81">
        <f t="shared" si="154"/>
        <v>73.77795938</v>
      </c>
      <c r="M250" s="66">
        <f>I250*'Rate Codes'!$D$8</f>
        <v>22.01340938</v>
      </c>
      <c r="N250" s="67">
        <f>(H250)*'Billing Rate'!$B$1</f>
        <v>-176.922716</v>
      </c>
      <c r="O250" s="25">
        <f t="shared" si="155"/>
        <v>95.79136876</v>
      </c>
      <c r="P250" s="81">
        <f t="shared" si="156"/>
        <v>-81.13134723</v>
      </c>
      <c r="Q250" s="25">
        <f t="shared" si="157"/>
        <v>4.789568438</v>
      </c>
      <c r="R250" s="81">
        <f t="shared" si="158"/>
        <v>-76.34177879</v>
      </c>
    </row>
    <row r="251">
      <c r="A251" s="12"/>
      <c r="B251" s="80" t="s">
        <v>122</v>
      </c>
      <c r="C251" s="87">
        <v>31.0</v>
      </c>
      <c r="D251" s="86">
        <v>0.33125</v>
      </c>
      <c r="E251" s="88">
        <v>0.1449493112</v>
      </c>
      <c r="F251" s="89">
        <f t="shared" si="151"/>
        <v>8739.281403</v>
      </c>
      <c r="G251" s="81">
        <v>6634.0</v>
      </c>
      <c r="H251" s="81">
        <f t="shared" si="152"/>
        <v>-2105.281403</v>
      </c>
      <c r="I251" s="25">
        <f t="shared" si="153"/>
        <v>2396.859101</v>
      </c>
      <c r="J251" s="64">
        <f>C251*'Rate Codes'!$D$7</f>
        <v>53.490035</v>
      </c>
      <c r="K251" s="25">
        <f>I251*'Rate Codes'!$D$8</f>
        <v>31.04651594</v>
      </c>
      <c r="L251" s="81">
        <f t="shared" si="154"/>
        <v>84.53655094</v>
      </c>
      <c r="M251" s="66">
        <f>I251*'Rate Codes'!$D$8</f>
        <v>31.04651594</v>
      </c>
      <c r="N251" s="67">
        <f>(H251)*'Billing Rate'!$B$1</f>
        <v>-143.1591354</v>
      </c>
      <c r="O251" s="25">
        <f t="shared" si="155"/>
        <v>115.5830669</v>
      </c>
      <c r="P251" s="81">
        <f t="shared" si="156"/>
        <v>-27.57606851</v>
      </c>
      <c r="Q251" s="25">
        <f t="shared" si="157"/>
        <v>5.779153344</v>
      </c>
      <c r="R251" s="81">
        <f t="shared" si="158"/>
        <v>-21.79691517</v>
      </c>
    </row>
    <row r="252">
      <c r="A252" s="12"/>
      <c r="B252" s="80" t="s">
        <v>123</v>
      </c>
      <c r="C252" s="87">
        <v>31.0</v>
      </c>
      <c r="D252" s="86">
        <v>0.3951375</v>
      </c>
      <c r="E252" s="88">
        <v>0.1246952409</v>
      </c>
      <c r="F252" s="89">
        <f t="shared" si="151"/>
        <v>7518.123341</v>
      </c>
      <c r="G252" s="81">
        <v>5909.0</v>
      </c>
      <c r="H252" s="81">
        <f t="shared" si="152"/>
        <v>-1609.123341</v>
      </c>
      <c r="I252" s="25">
        <f t="shared" si="153"/>
        <v>2546.6742</v>
      </c>
      <c r="J252" s="64">
        <f>C252*'Rate Codes'!$D$7</f>
        <v>53.490035</v>
      </c>
      <c r="K252" s="25">
        <f>I252*'Rate Codes'!$D$8</f>
        <v>32.98707091</v>
      </c>
      <c r="L252" s="81">
        <f t="shared" si="154"/>
        <v>86.47710591</v>
      </c>
      <c r="M252" s="66">
        <f>I252*'Rate Codes'!$D$8</f>
        <v>32.98707091</v>
      </c>
      <c r="N252" s="67">
        <f>(H252)*'Billing Rate'!$B$1</f>
        <v>-109.4203872</v>
      </c>
      <c r="O252" s="25">
        <f t="shared" si="155"/>
        <v>119.4641768</v>
      </c>
      <c r="P252" s="81">
        <f t="shared" si="156"/>
        <v>10.04378963</v>
      </c>
      <c r="Q252" s="25">
        <f t="shared" si="157"/>
        <v>5.973208841</v>
      </c>
      <c r="R252" s="81">
        <f t="shared" si="158"/>
        <v>16.01699847</v>
      </c>
    </row>
    <row r="253">
      <c r="A253" s="12"/>
      <c r="B253" s="80" t="s">
        <v>124</v>
      </c>
      <c r="C253" s="87">
        <v>30.0</v>
      </c>
      <c r="D253" s="86">
        <v>0.4756958333333334</v>
      </c>
      <c r="E253" s="88">
        <v>0.09825803101</v>
      </c>
      <c r="F253" s="89">
        <f t="shared" si="151"/>
        <v>5924.171533</v>
      </c>
      <c r="G253" s="81">
        <v>5270.0</v>
      </c>
      <c r="H253" s="81">
        <f t="shared" si="152"/>
        <v>-654.1715326</v>
      </c>
      <c r="I253" s="25">
        <f t="shared" si="153"/>
        <v>2734.331171</v>
      </c>
      <c r="J253" s="64">
        <f>C253*'Rate Codes'!$D$7</f>
        <v>51.76455</v>
      </c>
      <c r="K253" s="25">
        <f>I253*'Rate Codes'!$D$8</f>
        <v>35.41779166</v>
      </c>
      <c r="L253" s="81">
        <f t="shared" si="154"/>
        <v>87.18234166</v>
      </c>
      <c r="M253" s="66">
        <f>I253*'Rate Codes'!$D$8</f>
        <v>35.41779166</v>
      </c>
      <c r="N253" s="67">
        <f>(H253)*'Billing Rate'!$B$1</f>
        <v>-44.48366422</v>
      </c>
      <c r="O253" s="25">
        <f t="shared" si="155"/>
        <v>122.6001333</v>
      </c>
      <c r="P253" s="81">
        <f t="shared" si="156"/>
        <v>78.1164691</v>
      </c>
      <c r="Q253" s="25">
        <f t="shared" si="157"/>
        <v>6.130006666</v>
      </c>
      <c r="R253" s="81">
        <f t="shared" si="158"/>
        <v>84.24647577</v>
      </c>
    </row>
    <row r="254">
      <c r="A254" s="12"/>
      <c r="B254" s="80" t="s">
        <v>125</v>
      </c>
      <c r="C254" s="87">
        <v>31.0</v>
      </c>
      <c r="D254" s="86">
        <v>0.5590291666666667</v>
      </c>
      <c r="E254" s="88">
        <v>0.06840443866</v>
      </c>
      <c r="F254" s="89">
        <f t="shared" si="151"/>
        <v>4124.239251</v>
      </c>
      <c r="G254" s="81">
        <v>5946.0</v>
      </c>
      <c r="H254" s="81">
        <f t="shared" si="152"/>
        <v>1821.760749</v>
      </c>
      <c r="I254" s="25">
        <f t="shared" si="153"/>
        <v>3625.521817</v>
      </c>
      <c r="J254" s="64">
        <f>C254*'Rate Codes'!$D$7</f>
        <v>53.490035</v>
      </c>
      <c r="K254" s="25">
        <f>I254*'Rate Codes'!$D$8</f>
        <v>46.9613841</v>
      </c>
      <c r="L254" s="81">
        <f t="shared" si="154"/>
        <v>100.4514191</v>
      </c>
      <c r="M254" s="66">
        <f>I254*'Rate Codes'!$D$8</f>
        <v>46.9613841</v>
      </c>
      <c r="N254" s="67">
        <f>(H254)*'Billing Rate'!$B$1</f>
        <v>123.8797309</v>
      </c>
      <c r="O254" s="25">
        <f t="shared" si="155"/>
        <v>147.4128032</v>
      </c>
      <c r="P254" s="81">
        <f t="shared" si="156"/>
        <v>271.2925341</v>
      </c>
      <c r="Q254" s="25">
        <f t="shared" si="157"/>
        <v>13.56462671</v>
      </c>
      <c r="R254" s="81">
        <f t="shared" si="158"/>
        <v>284.8571608</v>
      </c>
    </row>
    <row r="255">
      <c r="A255" s="12"/>
      <c r="B255" s="80" t="s">
        <v>126</v>
      </c>
      <c r="C255" s="87">
        <v>30.0</v>
      </c>
      <c r="D255" s="86">
        <v>0.63125</v>
      </c>
      <c r="E255" s="88">
        <v>0.0271408052</v>
      </c>
      <c r="F255" s="89">
        <f t="shared" si="151"/>
        <v>1636.372965</v>
      </c>
      <c r="G255" s="81">
        <v>5587.0</v>
      </c>
      <c r="H255" s="81">
        <f t="shared" si="152"/>
        <v>3950.627035</v>
      </c>
      <c r="I255" s="25">
        <f t="shared" si="153"/>
        <v>3846.725649</v>
      </c>
      <c r="J255" s="64">
        <f>C255*'Rate Codes'!$D$7</f>
        <v>51.76455</v>
      </c>
      <c r="K255" s="25">
        <f>I255*'Rate Codes'!$D$8</f>
        <v>49.82663734</v>
      </c>
      <c r="L255" s="81">
        <f t="shared" si="154"/>
        <v>101.5911873</v>
      </c>
      <c r="M255" s="66">
        <f>I255*'Rate Codes'!$D$8</f>
        <v>49.82663734</v>
      </c>
      <c r="N255" s="67">
        <f>(H255)*'Billing Rate'!$B$1</f>
        <v>268.6426384</v>
      </c>
      <c r="O255" s="25">
        <f t="shared" si="155"/>
        <v>151.4178247</v>
      </c>
      <c r="P255" s="81">
        <f t="shared" si="156"/>
        <v>420.0604631</v>
      </c>
      <c r="Q255" s="25">
        <f t="shared" si="157"/>
        <v>21.00302315</v>
      </c>
      <c r="R255" s="81">
        <f t="shared" si="158"/>
        <v>441.0634862</v>
      </c>
    </row>
    <row r="256">
      <c r="A256" s="12"/>
      <c r="B256" s="80" t="s">
        <v>127</v>
      </c>
      <c r="C256" s="87">
        <v>31.0</v>
      </c>
      <c r="D256" s="86">
        <v>0.6680541666666667</v>
      </c>
      <c r="E256" s="88">
        <v>0.01559005293</v>
      </c>
      <c r="F256" s="89">
        <f t="shared" si="151"/>
        <v>939.9552058</v>
      </c>
      <c r="G256" s="81">
        <v>5490.0</v>
      </c>
      <c r="H256" s="81">
        <f t="shared" si="152"/>
        <v>4550.044794</v>
      </c>
      <c r="I256" s="25">
        <f t="shared" si="153"/>
        <v>4000.324042</v>
      </c>
      <c r="J256" s="64">
        <f>C256*'Rate Codes'!$D$7</f>
        <v>53.490035</v>
      </c>
      <c r="K256" s="25">
        <f>I256*'Rate Codes'!$D$8</f>
        <v>51.81619731</v>
      </c>
      <c r="L256" s="81">
        <f t="shared" si="154"/>
        <v>105.3062323</v>
      </c>
      <c r="M256" s="66">
        <f>I256*'Rate Codes'!$D$8</f>
        <v>51.81619731</v>
      </c>
      <c r="N256" s="67">
        <f>(H256)*'Billing Rate'!$B$1</f>
        <v>309.403046</v>
      </c>
      <c r="O256" s="25">
        <f t="shared" si="155"/>
        <v>157.1224296</v>
      </c>
      <c r="P256" s="81">
        <f t="shared" si="156"/>
        <v>466.5254756</v>
      </c>
      <c r="Q256" s="25">
        <f t="shared" si="157"/>
        <v>23.32627378</v>
      </c>
      <c r="R256" s="81">
        <f t="shared" si="158"/>
        <v>489.8517494</v>
      </c>
    </row>
    <row r="257">
      <c r="A257" s="12"/>
      <c r="B257" s="77" t="s">
        <v>109</v>
      </c>
      <c r="C257" s="82"/>
      <c r="D257" s="83"/>
      <c r="E257" s="83">
        <f t="shared" ref="E257:N257" si="159">SUM(E245:E256)</f>
        <v>1</v>
      </c>
      <c r="F257" s="84">
        <f t="shared" si="159"/>
        <v>60291.98297</v>
      </c>
      <c r="G257" s="85">
        <f t="shared" si="159"/>
        <v>66307</v>
      </c>
      <c r="H257" s="85">
        <f t="shared" si="159"/>
        <v>6015.017026</v>
      </c>
      <c r="I257" s="48">
        <f t="shared" si="159"/>
        <v>35476.94959</v>
      </c>
      <c r="J257" s="85">
        <f t="shared" si="159"/>
        <v>629.802025</v>
      </c>
      <c r="K257" s="85">
        <f t="shared" si="159"/>
        <v>459.5329281</v>
      </c>
      <c r="L257" s="85">
        <f t="shared" si="159"/>
        <v>1089.334953</v>
      </c>
      <c r="M257" s="85">
        <f t="shared" si="159"/>
        <v>459.5329281</v>
      </c>
      <c r="N257" s="85">
        <f t="shared" si="159"/>
        <v>409.0211578</v>
      </c>
      <c r="O257" s="48">
        <f t="shared" si="155"/>
        <v>1548.867881</v>
      </c>
      <c r="P257" s="85">
        <f t="shared" ref="P257:R257" si="160">SUM(P245:P256)</f>
        <v>1957.889039</v>
      </c>
      <c r="Q257" s="85">
        <f t="shared" si="160"/>
        <v>134.8855397</v>
      </c>
      <c r="R257" s="85">
        <f t="shared" si="160"/>
        <v>2092.774579</v>
      </c>
    </row>
    <row r="259">
      <c r="A259" s="76">
        <v>16.0</v>
      </c>
      <c r="B259" s="12" t="s">
        <v>128</v>
      </c>
      <c r="C259" s="12"/>
      <c r="D259" s="15"/>
      <c r="E259" s="15">
        <f>$E$1* POW((1 -$H$1),A259)</f>
        <v>59990.52306</v>
      </c>
      <c r="F259" s="1" t="s">
        <v>132</v>
      </c>
      <c r="G259" s="8">
        <f>E259/G273</f>
        <v>0.9047389123</v>
      </c>
      <c r="H259" s="1" t="s">
        <v>133</v>
      </c>
      <c r="I259" s="6">
        <f>1-G259</f>
        <v>0.09526108769</v>
      </c>
      <c r="J259" s="12" t="s">
        <v>74</v>
      </c>
      <c r="M259" s="12" t="s">
        <v>78</v>
      </c>
      <c r="N259" s="12"/>
      <c r="O259" s="12"/>
      <c r="P259" s="12"/>
      <c r="Q259" s="12"/>
      <c r="R259" s="12"/>
    </row>
    <row r="260">
      <c r="A260" s="12"/>
      <c r="B260" s="77" t="s">
        <v>83</v>
      </c>
      <c r="C260" s="78" t="s">
        <v>88</v>
      </c>
      <c r="D260" s="44" t="s">
        <v>87</v>
      </c>
      <c r="E260" s="77" t="s">
        <v>140</v>
      </c>
      <c r="F260" s="77" t="s">
        <v>135</v>
      </c>
      <c r="G260" s="78" t="s">
        <v>89</v>
      </c>
      <c r="H260" s="78" t="s">
        <v>138</v>
      </c>
      <c r="I260" s="20" t="s">
        <v>139</v>
      </c>
      <c r="J260" s="78" t="s">
        <v>76</v>
      </c>
      <c r="K260" s="78" t="s">
        <v>82</v>
      </c>
      <c r="L260" s="78" t="s">
        <v>109</v>
      </c>
      <c r="M260" s="78" t="s">
        <v>80</v>
      </c>
      <c r="N260" s="78" t="s">
        <v>67</v>
      </c>
      <c r="O260" s="45" t="s">
        <v>114</v>
      </c>
      <c r="P260" s="79" t="s">
        <v>115</v>
      </c>
      <c r="Q260" s="79" t="s">
        <v>60</v>
      </c>
      <c r="R260" s="79" t="s">
        <v>109</v>
      </c>
    </row>
    <row r="261">
      <c r="A261" s="12"/>
      <c r="B261" s="80" t="s">
        <v>117</v>
      </c>
      <c r="C261" s="87">
        <v>31.0</v>
      </c>
      <c r="D261" s="86">
        <v>0.6479166666666667</v>
      </c>
      <c r="E261" s="88">
        <v>0.02731296772</v>
      </c>
      <c r="F261" s="89">
        <f t="shared" ref="F261:F272" si="161">$E$259*E261</f>
        <v>1638.51922</v>
      </c>
      <c r="G261" s="81">
        <v>5726.0</v>
      </c>
      <c r="H261" s="81">
        <f t="shared" ref="H261:H272" si="162">G261-F261</f>
        <v>4087.48078</v>
      </c>
      <c r="I261" s="25">
        <f t="shared" ref="I261:I272" si="163">D261*G261*(1+$I$259)</f>
        <v>4063.38669</v>
      </c>
      <c r="J261" s="64">
        <f>C261*'Rate Codes'!$D$7</f>
        <v>53.490035</v>
      </c>
      <c r="K261" s="25">
        <f>I261*'Rate Codes'!$D$8</f>
        <v>52.6330478</v>
      </c>
      <c r="L261" s="81">
        <f t="shared" ref="L261:L272" si="164">SUM(J261:K261)</f>
        <v>106.1230828</v>
      </c>
      <c r="M261" s="66">
        <f>I261*'Rate Codes'!$D$8</f>
        <v>52.6330478</v>
      </c>
      <c r="N261" s="67">
        <f>(H261)*'Billing Rate'!$B$1</f>
        <v>277.9486931</v>
      </c>
      <c r="O261" s="25">
        <f t="shared" ref="O261:O273" si="165">L261+M261</f>
        <v>158.7561306</v>
      </c>
      <c r="P261" s="81">
        <f t="shared" ref="P261:P272" si="166">N261+L261+M261</f>
        <v>436.7048237</v>
      </c>
      <c r="Q261" s="25">
        <f t="shared" ref="Q261:Q272" si="167">(IF(N261&gt;0,N261,0)+O261)*0.05</f>
        <v>21.83524118</v>
      </c>
      <c r="R261" s="81">
        <f t="shared" ref="R261:R272" si="168">P261+Q261</f>
        <v>458.5400648</v>
      </c>
    </row>
    <row r="262">
      <c r="A262" s="12"/>
      <c r="B262" s="80" t="s">
        <v>118</v>
      </c>
      <c r="C262" s="87">
        <v>28.0</v>
      </c>
      <c r="D262" s="86">
        <v>0.5868041666666667</v>
      </c>
      <c r="E262" s="88">
        <v>0.04620731865</v>
      </c>
      <c r="F262" s="89">
        <f t="shared" si="161"/>
        <v>2772.001215</v>
      </c>
      <c r="G262" s="81">
        <v>5279.0</v>
      </c>
      <c r="H262" s="81">
        <f t="shared" si="162"/>
        <v>2506.998785</v>
      </c>
      <c r="I262" s="25">
        <f t="shared" si="163"/>
        <v>3392.833201</v>
      </c>
      <c r="J262" s="64">
        <f>C262*'Rate Codes'!$D$7</f>
        <v>48.31358</v>
      </c>
      <c r="K262" s="25">
        <f>I262*'Rate Codes'!$D$8</f>
        <v>43.94736845</v>
      </c>
      <c r="L262" s="81">
        <f t="shared" si="164"/>
        <v>92.26094845</v>
      </c>
      <c r="M262" s="66">
        <f>I262*'Rate Codes'!$D$8</f>
        <v>43.94736845</v>
      </c>
      <c r="N262" s="67">
        <f>(H262)*'Billing Rate'!$B$1</f>
        <v>170.4759174</v>
      </c>
      <c r="O262" s="25">
        <f t="shared" si="165"/>
        <v>136.2083169</v>
      </c>
      <c r="P262" s="81">
        <f t="shared" si="166"/>
        <v>306.6842343</v>
      </c>
      <c r="Q262" s="25">
        <f t="shared" si="167"/>
        <v>15.33421171</v>
      </c>
      <c r="R262" s="81">
        <f t="shared" si="168"/>
        <v>322.018446</v>
      </c>
    </row>
    <row r="263">
      <c r="A263" s="12"/>
      <c r="B263" s="80" t="s">
        <v>119</v>
      </c>
      <c r="C263" s="87">
        <v>31.0</v>
      </c>
      <c r="D263" s="86">
        <v>0.5083333333333333</v>
      </c>
      <c r="E263" s="88">
        <v>0.08500831624</v>
      </c>
      <c r="F263" s="89">
        <f t="shared" si="161"/>
        <v>5099.693356</v>
      </c>
      <c r="G263" s="81">
        <v>4991.0</v>
      </c>
      <c r="H263" s="81">
        <f t="shared" si="162"/>
        <v>-108.6933555</v>
      </c>
      <c r="I263" s="25">
        <f t="shared" si="163"/>
        <v>2778.777778</v>
      </c>
      <c r="J263" s="64">
        <f>C263*'Rate Codes'!$D$7</f>
        <v>53.490035</v>
      </c>
      <c r="K263" s="25">
        <f>I263*'Rate Codes'!$D$8</f>
        <v>35.99350856</v>
      </c>
      <c r="L263" s="81">
        <f t="shared" si="164"/>
        <v>89.48354356</v>
      </c>
      <c r="M263" s="66">
        <f>I263*'Rate Codes'!$D$8</f>
        <v>35.99350856</v>
      </c>
      <c r="N263" s="67">
        <f>(H263)*'Billing Rate'!$B$1</f>
        <v>-7.391148177</v>
      </c>
      <c r="O263" s="25">
        <f t="shared" si="165"/>
        <v>125.4770521</v>
      </c>
      <c r="P263" s="81">
        <f t="shared" si="166"/>
        <v>118.085904</v>
      </c>
      <c r="Q263" s="25">
        <f t="shared" si="167"/>
        <v>6.273852606</v>
      </c>
      <c r="R263" s="81">
        <f t="shared" si="168"/>
        <v>124.3597566</v>
      </c>
    </row>
    <row r="264">
      <c r="A264" s="12"/>
      <c r="B264" s="80" t="s">
        <v>120</v>
      </c>
      <c r="C264" s="87">
        <v>30.0</v>
      </c>
      <c r="D264" s="86">
        <v>0.425</v>
      </c>
      <c r="E264" s="88">
        <v>0.108773175</v>
      </c>
      <c r="F264" s="89">
        <f t="shared" si="161"/>
        <v>6525.359663</v>
      </c>
      <c r="G264" s="81">
        <v>4952.0</v>
      </c>
      <c r="H264" s="81">
        <f t="shared" si="162"/>
        <v>-1573.359663</v>
      </c>
      <c r="I264" s="25">
        <f t="shared" si="163"/>
        <v>2305.086485</v>
      </c>
      <c r="J264" s="64">
        <f>C264*'Rate Codes'!$D$7</f>
        <v>51.76455</v>
      </c>
      <c r="K264" s="25">
        <f>I264*'Rate Codes'!$D$8</f>
        <v>29.85778524</v>
      </c>
      <c r="L264" s="81">
        <f t="shared" si="164"/>
        <v>81.62233524</v>
      </c>
      <c r="M264" s="66">
        <f>I264*'Rate Codes'!$D$8</f>
        <v>29.85778524</v>
      </c>
      <c r="N264" s="67">
        <f>(H264)*'Billing Rate'!$B$1</f>
        <v>-106.9884571</v>
      </c>
      <c r="O264" s="25">
        <f t="shared" si="165"/>
        <v>111.4801205</v>
      </c>
      <c r="P264" s="81">
        <f t="shared" si="166"/>
        <v>4.491663403</v>
      </c>
      <c r="Q264" s="25">
        <f t="shared" si="167"/>
        <v>5.574006024</v>
      </c>
      <c r="R264" s="81">
        <f t="shared" si="168"/>
        <v>10.06566943</v>
      </c>
    </row>
    <row r="265">
      <c r="A265" s="12"/>
      <c r="B265" s="80" t="s">
        <v>98</v>
      </c>
      <c r="C265" s="87">
        <v>31.0</v>
      </c>
      <c r="D265" s="86">
        <v>0.35277916666666664</v>
      </c>
      <c r="E265" s="88">
        <v>0.1281742617</v>
      </c>
      <c r="F265" s="89">
        <f t="shared" si="161"/>
        <v>7689.241002</v>
      </c>
      <c r="G265" s="81">
        <v>5559.0</v>
      </c>
      <c r="H265" s="81">
        <f t="shared" si="162"/>
        <v>-2130.241002</v>
      </c>
      <c r="I265" s="25">
        <f t="shared" si="163"/>
        <v>2147.915848</v>
      </c>
      <c r="J265" s="64">
        <f>C265*'Rate Codes'!$D$7</f>
        <v>53.490035</v>
      </c>
      <c r="K265" s="25">
        <f>I265*'Rate Codes'!$D$8</f>
        <v>27.82195398</v>
      </c>
      <c r="L265" s="81">
        <f t="shared" si="164"/>
        <v>81.31198898</v>
      </c>
      <c r="M265" s="66">
        <f>I265*'Rate Codes'!$D$8</f>
        <v>27.82195398</v>
      </c>
      <c r="N265" s="67">
        <f>(H265)*'Billing Rate'!$B$1</f>
        <v>-144.8563881</v>
      </c>
      <c r="O265" s="25">
        <f t="shared" si="165"/>
        <v>109.133943</v>
      </c>
      <c r="P265" s="81">
        <f t="shared" si="166"/>
        <v>-35.72244517</v>
      </c>
      <c r="Q265" s="25">
        <f t="shared" si="167"/>
        <v>5.456697148</v>
      </c>
      <c r="R265" s="81">
        <f t="shared" si="168"/>
        <v>-30.26574802</v>
      </c>
    </row>
    <row r="266">
      <c r="A266" s="12"/>
      <c r="B266" s="80" t="s">
        <v>121</v>
      </c>
      <c r="C266" s="87">
        <v>30.0</v>
      </c>
      <c r="D266" s="86">
        <v>0.31388750000000004</v>
      </c>
      <c r="E266" s="88">
        <v>0.1254860808</v>
      </c>
      <c r="F266" s="89">
        <f t="shared" si="161"/>
        <v>7527.975624</v>
      </c>
      <c r="G266" s="81">
        <v>4964.0</v>
      </c>
      <c r="H266" s="81">
        <f t="shared" si="162"/>
        <v>-2563.975624</v>
      </c>
      <c r="I266" s="25">
        <f t="shared" si="163"/>
        <v>1706.567428</v>
      </c>
      <c r="J266" s="64">
        <f>C266*'Rate Codes'!$D$7</f>
        <v>51.76455</v>
      </c>
      <c r="K266" s="25">
        <f>I266*'Rate Codes'!$D$8</f>
        <v>22.10516789</v>
      </c>
      <c r="L266" s="81">
        <f t="shared" si="164"/>
        <v>73.86971789</v>
      </c>
      <c r="M266" s="66">
        <f>I266*'Rate Codes'!$D$8</f>
        <v>22.10516789</v>
      </c>
      <c r="N266" s="67">
        <f>(H266)*'Billing Rate'!$B$1</f>
        <v>-174.3503424</v>
      </c>
      <c r="O266" s="25">
        <f t="shared" si="165"/>
        <v>95.97488578</v>
      </c>
      <c r="P266" s="81">
        <f t="shared" si="166"/>
        <v>-78.37545663</v>
      </c>
      <c r="Q266" s="25">
        <f t="shared" si="167"/>
        <v>4.798744289</v>
      </c>
      <c r="R266" s="81">
        <f t="shared" si="168"/>
        <v>-73.57671234</v>
      </c>
    </row>
    <row r="267">
      <c r="A267" s="12"/>
      <c r="B267" s="80" t="s">
        <v>122</v>
      </c>
      <c r="C267" s="87">
        <v>31.0</v>
      </c>
      <c r="D267" s="86">
        <v>0.33125</v>
      </c>
      <c r="E267" s="88">
        <v>0.1449493112</v>
      </c>
      <c r="F267" s="89">
        <f t="shared" si="161"/>
        <v>8695.584996</v>
      </c>
      <c r="G267" s="81">
        <v>6634.0</v>
      </c>
      <c r="H267" s="81">
        <f t="shared" si="162"/>
        <v>-2061.584996</v>
      </c>
      <c r="I267" s="25">
        <f t="shared" si="163"/>
        <v>2406.849931</v>
      </c>
      <c r="J267" s="64">
        <f>C267*'Rate Codes'!$D$7</f>
        <v>53.490035</v>
      </c>
      <c r="K267" s="25">
        <f>I267*'Rate Codes'!$D$8</f>
        <v>31.17592716</v>
      </c>
      <c r="L267" s="81">
        <f t="shared" si="164"/>
        <v>84.66596216</v>
      </c>
      <c r="M267" s="66">
        <f>I267*'Rate Codes'!$D$8</f>
        <v>31.17592716</v>
      </c>
      <c r="N267" s="67">
        <f>(H267)*'Billing Rate'!$B$1</f>
        <v>-140.1877797</v>
      </c>
      <c r="O267" s="25">
        <f t="shared" si="165"/>
        <v>115.8418893</v>
      </c>
      <c r="P267" s="81">
        <f t="shared" si="166"/>
        <v>-24.3458904</v>
      </c>
      <c r="Q267" s="25">
        <f t="shared" si="167"/>
        <v>5.792094466</v>
      </c>
      <c r="R267" s="81">
        <f t="shared" si="168"/>
        <v>-18.55379594</v>
      </c>
    </row>
    <row r="268">
      <c r="A268" s="12"/>
      <c r="B268" s="80" t="s">
        <v>123</v>
      </c>
      <c r="C268" s="87">
        <v>31.0</v>
      </c>
      <c r="D268" s="86">
        <v>0.3951375</v>
      </c>
      <c r="E268" s="88">
        <v>0.1246952409</v>
      </c>
      <c r="F268" s="89">
        <f t="shared" si="161"/>
        <v>7480.532724</v>
      </c>
      <c r="G268" s="81">
        <v>5909.0</v>
      </c>
      <c r="H268" s="81">
        <f t="shared" si="162"/>
        <v>-1571.532724</v>
      </c>
      <c r="I268" s="25">
        <f t="shared" si="163"/>
        <v>2557.289504</v>
      </c>
      <c r="J268" s="64">
        <f>C268*'Rate Codes'!$D$7</f>
        <v>53.490035</v>
      </c>
      <c r="K268" s="25">
        <f>I268*'Rate Codes'!$D$8</f>
        <v>33.12457095</v>
      </c>
      <c r="L268" s="81">
        <f t="shared" si="164"/>
        <v>86.61460595</v>
      </c>
      <c r="M268" s="66">
        <f>I268*'Rate Codes'!$D$8</f>
        <v>33.12457095</v>
      </c>
      <c r="N268" s="67">
        <f>(H268)*'Billing Rate'!$B$1</f>
        <v>-106.8642253</v>
      </c>
      <c r="O268" s="25">
        <f t="shared" si="165"/>
        <v>119.7391769</v>
      </c>
      <c r="P268" s="81">
        <f t="shared" si="166"/>
        <v>12.87495163</v>
      </c>
      <c r="Q268" s="25">
        <f t="shared" si="167"/>
        <v>5.986958845</v>
      </c>
      <c r="R268" s="81">
        <f t="shared" si="168"/>
        <v>18.86191047</v>
      </c>
    </row>
    <row r="269">
      <c r="A269" s="12"/>
      <c r="B269" s="80" t="s">
        <v>124</v>
      </c>
      <c r="C269" s="87">
        <v>30.0</v>
      </c>
      <c r="D269" s="86">
        <v>0.4756958333333334</v>
      </c>
      <c r="E269" s="88">
        <v>0.09825803101</v>
      </c>
      <c r="F269" s="89">
        <f t="shared" si="161"/>
        <v>5894.550675</v>
      </c>
      <c r="G269" s="81">
        <v>5270.0</v>
      </c>
      <c r="H269" s="81">
        <f t="shared" si="162"/>
        <v>-624.550675</v>
      </c>
      <c r="I269" s="25">
        <f t="shared" si="163"/>
        <v>2745.728686</v>
      </c>
      <c r="J269" s="64">
        <f>C269*'Rate Codes'!$D$7</f>
        <v>51.76455</v>
      </c>
      <c r="K269" s="25">
        <f>I269*'Rate Codes'!$D$8</f>
        <v>35.56542367</v>
      </c>
      <c r="L269" s="81">
        <f t="shared" si="164"/>
        <v>87.32997367</v>
      </c>
      <c r="M269" s="66">
        <f>I269*'Rate Codes'!$D$8</f>
        <v>35.56542367</v>
      </c>
      <c r="N269" s="67">
        <f>(H269)*'Billing Rate'!$B$1</f>
        <v>-42.4694459</v>
      </c>
      <c r="O269" s="25">
        <f t="shared" si="165"/>
        <v>122.8953973</v>
      </c>
      <c r="P269" s="81">
        <f t="shared" si="166"/>
        <v>80.42595144</v>
      </c>
      <c r="Q269" s="25">
        <f t="shared" si="167"/>
        <v>6.144769867</v>
      </c>
      <c r="R269" s="81">
        <f t="shared" si="168"/>
        <v>86.5707213</v>
      </c>
    </row>
    <row r="270">
      <c r="A270" s="12"/>
      <c r="B270" s="80" t="s">
        <v>125</v>
      </c>
      <c r="C270" s="87">
        <v>31.0</v>
      </c>
      <c r="D270" s="86">
        <v>0.5590291666666667</v>
      </c>
      <c r="E270" s="88">
        <v>0.06840443866</v>
      </c>
      <c r="F270" s="89">
        <f t="shared" si="161"/>
        <v>4103.618055</v>
      </c>
      <c r="G270" s="81">
        <v>5946.0</v>
      </c>
      <c r="H270" s="81">
        <f t="shared" si="162"/>
        <v>1842.381945</v>
      </c>
      <c r="I270" s="25">
        <f t="shared" si="163"/>
        <v>3640.634083</v>
      </c>
      <c r="J270" s="64">
        <f>C270*'Rate Codes'!$D$7</f>
        <v>53.490035</v>
      </c>
      <c r="K270" s="25">
        <f>I270*'Rate Codes'!$D$8</f>
        <v>47.15713327</v>
      </c>
      <c r="L270" s="81">
        <f t="shared" si="164"/>
        <v>100.6471683</v>
      </c>
      <c r="M270" s="66">
        <f>I270*'Rate Codes'!$D$8</f>
        <v>47.15713327</v>
      </c>
      <c r="N270" s="67">
        <f>(H270)*'Billing Rate'!$B$1</f>
        <v>125.2819723</v>
      </c>
      <c r="O270" s="25">
        <f t="shared" si="165"/>
        <v>147.8043015</v>
      </c>
      <c r="P270" s="81">
        <f t="shared" si="166"/>
        <v>273.0862738</v>
      </c>
      <c r="Q270" s="25">
        <f t="shared" si="167"/>
        <v>13.65431369</v>
      </c>
      <c r="R270" s="81">
        <f t="shared" si="168"/>
        <v>286.7405875</v>
      </c>
    </row>
    <row r="271">
      <c r="A271" s="12"/>
      <c r="B271" s="80" t="s">
        <v>126</v>
      </c>
      <c r="C271" s="87">
        <v>30.0</v>
      </c>
      <c r="D271" s="86">
        <v>0.63125</v>
      </c>
      <c r="E271" s="88">
        <v>0.0271408052</v>
      </c>
      <c r="F271" s="89">
        <f t="shared" si="161"/>
        <v>1628.1911</v>
      </c>
      <c r="G271" s="81">
        <v>5587.0</v>
      </c>
      <c r="H271" s="81">
        <f t="shared" si="162"/>
        <v>3958.8089</v>
      </c>
      <c r="I271" s="25">
        <f t="shared" si="163"/>
        <v>3862.759959</v>
      </c>
      <c r="J271" s="64">
        <f>C271*'Rate Codes'!$D$7</f>
        <v>51.76455</v>
      </c>
      <c r="K271" s="25">
        <f>I271*'Rate Codes'!$D$8</f>
        <v>50.03432974</v>
      </c>
      <c r="L271" s="81">
        <f t="shared" si="164"/>
        <v>101.7988797</v>
      </c>
      <c r="M271" s="66">
        <f>I271*'Rate Codes'!$D$8</f>
        <v>50.03432974</v>
      </c>
      <c r="N271" s="67">
        <f>(H271)*'Billing Rate'!$B$1</f>
        <v>269.1990052</v>
      </c>
      <c r="O271" s="25">
        <f t="shared" si="165"/>
        <v>151.8332095</v>
      </c>
      <c r="P271" s="81">
        <f t="shared" si="166"/>
        <v>421.0322147</v>
      </c>
      <c r="Q271" s="25">
        <f t="shared" si="167"/>
        <v>21.05161073</v>
      </c>
      <c r="R271" s="81">
        <f t="shared" si="168"/>
        <v>442.0838254</v>
      </c>
    </row>
    <row r="272">
      <c r="A272" s="12"/>
      <c r="B272" s="80" t="s">
        <v>127</v>
      </c>
      <c r="C272" s="87">
        <v>31.0</v>
      </c>
      <c r="D272" s="86">
        <v>0.6680541666666667</v>
      </c>
      <c r="E272" s="88">
        <v>0.01559005293</v>
      </c>
      <c r="F272" s="89">
        <f t="shared" si="161"/>
        <v>935.2554298</v>
      </c>
      <c r="G272" s="81">
        <v>5490.0</v>
      </c>
      <c r="H272" s="81">
        <f t="shared" si="162"/>
        <v>4554.74457</v>
      </c>
      <c r="I272" s="25">
        <f t="shared" si="163"/>
        <v>4016.998595</v>
      </c>
      <c r="J272" s="64">
        <f>C272*'Rate Codes'!$D$7</f>
        <v>53.490035</v>
      </c>
      <c r="K272" s="25">
        <f>I272*'Rate Codes'!$D$8</f>
        <v>52.03218281</v>
      </c>
      <c r="L272" s="81">
        <f t="shared" si="164"/>
        <v>105.5222178</v>
      </c>
      <c r="M272" s="66">
        <f>I272*'Rate Codes'!$D$8</f>
        <v>52.03218281</v>
      </c>
      <c r="N272" s="67">
        <f>(H272)*'Billing Rate'!$B$1</f>
        <v>309.7226308</v>
      </c>
      <c r="O272" s="25">
        <f t="shared" si="165"/>
        <v>157.5544006</v>
      </c>
      <c r="P272" s="81">
        <f t="shared" si="166"/>
        <v>467.2770314</v>
      </c>
      <c r="Q272" s="25">
        <f t="shared" si="167"/>
        <v>23.36385157</v>
      </c>
      <c r="R272" s="81">
        <f t="shared" si="168"/>
        <v>490.640883</v>
      </c>
    </row>
    <row r="273">
      <c r="A273" s="12"/>
      <c r="B273" s="77" t="s">
        <v>109</v>
      </c>
      <c r="C273" s="82"/>
      <c r="D273" s="83"/>
      <c r="E273" s="83">
        <f t="shared" ref="E273:N273" si="169">SUM(E261:E272)</f>
        <v>1</v>
      </c>
      <c r="F273" s="84">
        <f t="shared" si="169"/>
        <v>59990.52306</v>
      </c>
      <c r="G273" s="85">
        <f t="shared" si="169"/>
        <v>66307</v>
      </c>
      <c r="H273" s="85">
        <f t="shared" si="169"/>
        <v>6316.476941</v>
      </c>
      <c r="I273" s="48">
        <f t="shared" si="169"/>
        <v>35624.82819</v>
      </c>
      <c r="J273" s="85">
        <f t="shared" si="169"/>
        <v>629.802025</v>
      </c>
      <c r="K273" s="85">
        <f t="shared" si="169"/>
        <v>461.4483995</v>
      </c>
      <c r="L273" s="85">
        <f t="shared" si="169"/>
        <v>1091.250425</v>
      </c>
      <c r="M273" s="85">
        <f t="shared" si="169"/>
        <v>461.4483995</v>
      </c>
      <c r="N273" s="85">
        <f t="shared" si="169"/>
        <v>429.520432</v>
      </c>
      <c r="O273" s="48">
        <f t="shared" si="165"/>
        <v>1552.698824</v>
      </c>
      <c r="P273" s="85">
        <f t="shared" ref="P273:R273" si="170">SUM(P261:P272)</f>
        <v>1982.219256</v>
      </c>
      <c r="Q273" s="85">
        <f t="shared" si="170"/>
        <v>135.2663521</v>
      </c>
      <c r="R273" s="85">
        <f t="shared" si="170"/>
        <v>2117.485608</v>
      </c>
    </row>
    <row r="275">
      <c r="A275" s="76">
        <v>17.0</v>
      </c>
      <c r="B275" s="12" t="s">
        <v>128</v>
      </c>
      <c r="C275" s="12"/>
      <c r="D275" s="15"/>
      <c r="E275" s="15">
        <f>$E$1* POW((1 -$H$1),A275)</f>
        <v>59690.57044</v>
      </c>
      <c r="F275" s="1" t="s">
        <v>132</v>
      </c>
      <c r="G275" s="8">
        <f>E275/G289</f>
        <v>0.9002152177</v>
      </c>
      <c r="H275" s="1" t="s">
        <v>133</v>
      </c>
      <c r="I275" s="6">
        <f>1-G275</f>
        <v>0.09978478225</v>
      </c>
      <c r="J275" s="12" t="s">
        <v>74</v>
      </c>
      <c r="M275" s="12" t="s">
        <v>78</v>
      </c>
      <c r="N275" s="12"/>
      <c r="O275" s="12"/>
      <c r="P275" s="12"/>
      <c r="Q275" s="12"/>
      <c r="R275" s="12"/>
    </row>
    <row r="276">
      <c r="A276" s="12"/>
      <c r="B276" s="77" t="s">
        <v>83</v>
      </c>
      <c r="C276" s="78" t="s">
        <v>88</v>
      </c>
      <c r="D276" s="44" t="s">
        <v>87</v>
      </c>
      <c r="E276" s="77" t="s">
        <v>140</v>
      </c>
      <c r="F276" s="77" t="s">
        <v>135</v>
      </c>
      <c r="G276" s="78" t="s">
        <v>89</v>
      </c>
      <c r="H276" s="78" t="s">
        <v>138</v>
      </c>
      <c r="I276" s="20" t="s">
        <v>139</v>
      </c>
      <c r="J276" s="78" t="s">
        <v>76</v>
      </c>
      <c r="K276" s="78" t="s">
        <v>82</v>
      </c>
      <c r="L276" s="78" t="s">
        <v>109</v>
      </c>
      <c r="M276" s="78" t="s">
        <v>80</v>
      </c>
      <c r="N276" s="78" t="s">
        <v>67</v>
      </c>
      <c r="O276" s="45" t="s">
        <v>114</v>
      </c>
      <c r="P276" s="79" t="s">
        <v>115</v>
      </c>
      <c r="Q276" s="79" t="s">
        <v>60</v>
      </c>
      <c r="R276" s="79" t="s">
        <v>109</v>
      </c>
    </row>
    <row r="277">
      <c r="A277" s="12"/>
      <c r="B277" s="80" t="s">
        <v>117</v>
      </c>
      <c r="C277" s="87">
        <v>31.0</v>
      </c>
      <c r="D277" s="86">
        <v>0.6479166666666667</v>
      </c>
      <c r="E277" s="88">
        <v>0.02731296772</v>
      </c>
      <c r="F277" s="89">
        <f t="shared" ref="F277:F288" si="171">$E$275*E277</f>
        <v>1630.326624</v>
      </c>
      <c r="G277" s="81">
        <v>5726.0</v>
      </c>
      <c r="H277" s="81">
        <f t="shared" ref="H277:H288" si="172">G277-F277</f>
        <v>4095.673376</v>
      </c>
      <c r="I277" s="25">
        <f t="shared" ref="I277:I288" si="173">D277*G277*(1+$I$275)</f>
        <v>4080.169465</v>
      </c>
      <c r="J277" s="64">
        <f>C277*'Rate Codes'!$D$7</f>
        <v>53.490035</v>
      </c>
      <c r="K277" s="25">
        <f>I277*'Rate Codes'!$D$8</f>
        <v>52.85043508</v>
      </c>
      <c r="L277" s="81">
        <f t="shared" ref="L277:L288" si="174">SUM(J277:K277)</f>
        <v>106.3404701</v>
      </c>
      <c r="M277" s="66">
        <f>I277*'Rate Codes'!$D$8</f>
        <v>52.85043508</v>
      </c>
      <c r="N277" s="67">
        <f>(H277)*'Billing Rate'!$B$1</f>
        <v>278.5057896</v>
      </c>
      <c r="O277" s="25">
        <f t="shared" ref="O277:O289" si="175">L277+M277</f>
        <v>159.1909052</v>
      </c>
      <c r="P277" s="81">
        <f t="shared" ref="P277:P288" si="176">N277+L277+M277</f>
        <v>437.6966948</v>
      </c>
      <c r="Q277" s="25">
        <f t="shared" ref="Q277:Q288" si="177">(IF(N277&gt;0,N277,0)+O277)*0.05</f>
        <v>21.88483474</v>
      </c>
      <c r="R277" s="81">
        <f t="shared" ref="R277:R288" si="178">P277+Q277</f>
        <v>459.5815295</v>
      </c>
    </row>
    <row r="278">
      <c r="A278" s="12"/>
      <c r="B278" s="80" t="s">
        <v>118</v>
      </c>
      <c r="C278" s="87">
        <v>28.0</v>
      </c>
      <c r="D278" s="86">
        <v>0.5868041666666667</v>
      </c>
      <c r="E278" s="88">
        <v>0.04620731865</v>
      </c>
      <c r="F278" s="89">
        <f t="shared" si="171"/>
        <v>2758.141209</v>
      </c>
      <c r="G278" s="81">
        <v>5279.0</v>
      </c>
      <c r="H278" s="81">
        <f t="shared" si="172"/>
        <v>2520.858791</v>
      </c>
      <c r="I278" s="25">
        <f t="shared" si="173"/>
        <v>3406.846427</v>
      </c>
      <c r="J278" s="64">
        <f>C278*'Rate Codes'!$D$7</f>
        <v>48.31358</v>
      </c>
      <c r="K278" s="25">
        <f>I278*'Rate Codes'!$D$8</f>
        <v>44.12888177</v>
      </c>
      <c r="L278" s="81">
        <f t="shared" si="174"/>
        <v>92.44246177</v>
      </c>
      <c r="M278" s="66">
        <f>I278*'Rate Codes'!$D$8</f>
        <v>44.12888177</v>
      </c>
      <c r="N278" s="67">
        <f>(H278)*'Billing Rate'!$B$1</f>
        <v>171.4183978</v>
      </c>
      <c r="O278" s="25">
        <f t="shared" si="175"/>
        <v>136.5713435</v>
      </c>
      <c r="P278" s="81">
        <f t="shared" si="176"/>
        <v>307.9897413</v>
      </c>
      <c r="Q278" s="25">
        <f t="shared" si="177"/>
        <v>15.39948707</v>
      </c>
      <c r="R278" s="81">
        <f t="shared" si="178"/>
        <v>323.3892284</v>
      </c>
    </row>
    <row r="279">
      <c r="A279" s="12"/>
      <c r="B279" s="80" t="s">
        <v>119</v>
      </c>
      <c r="C279" s="87">
        <v>31.0</v>
      </c>
      <c r="D279" s="86">
        <v>0.5083333333333333</v>
      </c>
      <c r="E279" s="88">
        <v>0.08500831624</v>
      </c>
      <c r="F279" s="89">
        <f t="shared" si="171"/>
        <v>5074.194889</v>
      </c>
      <c r="G279" s="81">
        <v>4991.0</v>
      </c>
      <c r="H279" s="81">
        <f t="shared" si="172"/>
        <v>-83.19488877</v>
      </c>
      <c r="I279" s="25">
        <f t="shared" si="173"/>
        <v>2790.254806</v>
      </c>
      <c r="J279" s="64">
        <f>C279*'Rate Codes'!$D$7</f>
        <v>53.490035</v>
      </c>
      <c r="K279" s="25">
        <f>I279*'Rate Codes'!$D$8</f>
        <v>36.1421705</v>
      </c>
      <c r="L279" s="81">
        <f t="shared" si="174"/>
        <v>89.6322055</v>
      </c>
      <c r="M279" s="66">
        <f>I279*'Rate Codes'!$D$8</f>
        <v>36.1421705</v>
      </c>
      <c r="N279" s="67">
        <f>(H279)*'Billing Rate'!$B$1</f>
        <v>-5.657252436</v>
      </c>
      <c r="O279" s="25">
        <f t="shared" si="175"/>
        <v>125.774376</v>
      </c>
      <c r="P279" s="81">
        <f t="shared" si="176"/>
        <v>120.1171236</v>
      </c>
      <c r="Q279" s="25">
        <f t="shared" si="177"/>
        <v>6.2887188</v>
      </c>
      <c r="R279" s="81">
        <f t="shared" si="178"/>
        <v>126.4058424</v>
      </c>
    </row>
    <row r="280">
      <c r="A280" s="12"/>
      <c r="B280" s="80" t="s">
        <v>120</v>
      </c>
      <c r="C280" s="87">
        <v>30.0</v>
      </c>
      <c r="D280" s="86">
        <v>0.425</v>
      </c>
      <c r="E280" s="88">
        <v>0.108773175</v>
      </c>
      <c r="F280" s="89">
        <f t="shared" si="171"/>
        <v>6492.732865</v>
      </c>
      <c r="G280" s="81">
        <v>4952.0</v>
      </c>
      <c r="H280" s="81">
        <f t="shared" si="172"/>
        <v>-1540.732865</v>
      </c>
      <c r="I280" s="25">
        <f t="shared" si="173"/>
        <v>2314.607053</v>
      </c>
      <c r="J280" s="64">
        <f>C280*'Rate Codes'!$D$7</f>
        <v>51.76455</v>
      </c>
      <c r="K280" s="25">
        <f>I280*'Rate Codes'!$D$8</f>
        <v>29.98110515</v>
      </c>
      <c r="L280" s="81">
        <f t="shared" si="174"/>
        <v>81.74565515</v>
      </c>
      <c r="M280" s="66">
        <f>I280*'Rate Codes'!$D$8</f>
        <v>29.98110515</v>
      </c>
      <c r="N280" s="67">
        <f>(H280)*'Billing Rate'!$B$1</f>
        <v>-104.7698348</v>
      </c>
      <c r="O280" s="25">
        <f t="shared" si="175"/>
        <v>111.7267603</v>
      </c>
      <c r="P280" s="81">
        <f t="shared" si="176"/>
        <v>6.956925512</v>
      </c>
      <c r="Q280" s="25">
        <f t="shared" si="177"/>
        <v>5.586338015</v>
      </c>
      <c r="R280" s="81">
        <f t="shared" si="178"/>
        <v>12.54326353</v>
      </c>
    </row>
    <row r="281">
      <c r="A281" s="12"/>
      <c r="B281" s="80" t="s">
        <v>98</v>
      </c>
      <c r="C281" s="87">
        <v>31.0</v>
      </c>
      <c r="D281" s="86">
        <v>0.35277916666666664</v>
      </c>
      <c r="E281" s="88">
        <v>0.1281742617</v>
      </c>
      <c r="F281" s="89">
        <f t="shared" si="171"/>
        <v>7650.794797</v>
      </c>
      <c r="G281" s="81">
        <v>5559.0</v>
      </c>
      <c r="H281" s="81">
        <f t="shared" si="172"/>
        <v>-2091.794797</v>
      </c>
      <c r="I281" s="25">
        <f t="shared" si="173"/>
        <v>2156.787263</v>
      </c>
      <c r="J281" s="64">
        <f>C281*'Rate Codes'!$D$7</f>
        <v>53.490035</v>
      </c>
      <c r="K281" s="25">
        <f>I281*'Rate Codes'!$D$8</f>
        <v>27.93686542</v>
      </c>
      <c r="L281" s="81">
        <f t="shared" si="174"/>
        <v>81.42690042</v>
      </c>
      <c r="M281" s="66">
        <f>I281*'Rate Codes'!$D$8</f>
        <v>27.93686542</v>
      </c>
      <c r="N281" s="67">
        <f>(H281)*'Billing Rate'!$B$1</f>
        <v>-142.2420462</v>
      </c>
      <c r="O281" s="25">
        <f t="shared" si="175"/>
        <v>109.3637658</v>
      </c>
      <c r="P281" s="81">
        <f t="shared" si="176"/>
        <v>-32.87828036</v>
      </c>
      <c r="Q281" s="25">
        <f t="shared" si="177"/>
        <v>5.468188292</v>
      </c>
      <c r="R281" s="81">
        <f t="shared" si="178"/>
        <v>-27.41009207</v>
      </c>
    </row>
    <row r="282">
      <c r="A282" s="12"/>
      <c r="B282" s="80" t="s">
        <v>121</v>
      </c>
      <c r="C282" s="87">
        <v>30.0</v>
      </c>
      <c r="D282" s="86">
        <v>0.31388750000000004</v>
      </c>
      <c r="E282" s="88">
        <v>0.1254860808</v>
      </c>
      <c r="F282" s="89">
        <f t="shared" si="171"/>
        <v>7490.335746</v>
      </c>
      <c r="G282" s="81">
        <v>4964.0</v>
      </c>
      <c r="H282" s="81">
        <f t="shared" si="172"/>
        <v>-2526.335746</v>
      </c>
      <c r="I282" s="25">
        <f t="shared" si="173"/>
        <v>1713.615966</v>
      </c>
      <c r="J282" s="64">
        <f>C282*'Rate Codes'!$D$7</f>
        <v>51.76455</v>
      </c>
      <c r="K282" s="25">
        <f>I282*'Rate Codes'!$D$8</f>
        <v>22.19646761</v>
      </c>
      <c r="L282" s="81">
        <f t="shared" si="174"/>
        <v>73.96101761</v>
      </c>
      <c r="M282" s="66">
        <f>I282*'Rate Codes'!$D$8</f>
        <v>22.19646761</v>
      </c>
      <c r="N282" s="67">
        <f>(H282)*'Billing Rate'!$B$1</f>
        <v>-171.7908307</v>
      </c>
      <c r="O282" s="25">
        <f t="shared" si="175"/>
        <v>96.15748522</v>
      </c>
      <c r="P282" s="81">
        <f t="shared" si="176"/>
        <v>-75.63334548</v>
      </c>
      <c r="Q282" s="25">
        <f t="shared" si="177"/>
        <v>4.807874261</v>
      </c>
      <c r="R282" s="81">
        <f t="shared" si="178"/>
        <v>-70.82547122</v>
      </c>
    </row>
    <row r="283">
      <c r="A283" s="12"/>
      <c r="B283" s="80" t="s">
        <v>122</v>
      </c>
      <c r="C283" s="87">
        <v>31.0</v>
      </c>
      <c r="D283" s="86">
        <v>0.33125</v>
      </c>
      <c r="E283" s="88">
        <v>0.1449493112</v>
      </c>
      <c r="F283" s="89">
        <f t="shared" si="171"/>
        <v>8652.107071</v>
      </c>
      <c r="G283" s="81">
        <v>6634.0</v>
      </c>
      <c r="H283" s="81">
        <f t="shared" si="172"/>
        <v>-2018.107071</v>
      </c>
      <c r="I283" s="25">
        <f t="shared" si="173"/>
        <v>2416.790806</v>
      </c>
      <c r="J283" s="64">
        <f>C283*'Rate Codes'!$D$7</f>
        <v>53.490035</v>
      </c>
      <c r="K283" s="25">
        <f>I283*'Rate Codes'!$D$8</f>
        <v>31.30469131</v>
      </c>
      <c r="L283" s="81">
        <f t="shared" si="174"/>
        <v>84.79472631</v>
      </c>
      <c r="M283" s="66">
        <f>I283*'Rate Codes'!$D$8</f>
        <v>31.30469131</v>
      </c>
      <c r="N283" s="67">
        <f>(H283)*'Billing Rate'!$B$1</f>
        <v>-137.2312808</v>
      </c>
      <c r="O283" s="25">
        <f t="shared" si="175"/>
        <v>116.0994176</v>
      </c>
      <c r="P283" s="81">
        <f t="shared" si="176"/>
        <v>-21.13186319</v>
      </c>
      <c r="Q283" s="25">
        <f t="shared" si="177"/>
        <v>5.804970881</v>
      </c>
      <c r="R283" s="81">
        <f t="shared" si="178"/>
        <v>-15.32689231</v>
      </c>
    </row>
    <row r="284">
      <c r="A284" s="12"/>
      <c r="B284" s="80" t="s">
        <v>123</v>
      </c>
      <c r="C284" s="87">
        <v>31.0</v>
      </c>
      <c r="D284" s="86">
        <v>0.3951375</v>
      </c>
      <c r="E284" s="88">
        <v>0.1246952409</v>
      </c>
      <c r="F284" s="89">
        <f t="shared" si="171"/>
        <v>7443.130061</v>
      </c>
      <c r="G284" s="81">
        <v>5909.0</v>
      </c>
      <c r="H284" s="81">
        <f t="shared" si="172"/>
        <v>-1534.130061</v>
      </c>
      <c r="I284" s="25">
        <f t="shared" si="173"/>
        <v>2567.851731</v>
      </c>
      <c r="J284" s="64">
        <f>C284*'Rate Codes'!$D$7</f>
        <v>53.490035</v>
      </c>
      <c r="K284" s="25">
        <f>I284*'Rate Codes'!$D$8</f>
        <v>33.26138348</v>
      </c>
      <c r="L284" s="81">
        <f t="shared" si="174"/>
        <v>86.75141848</v>
      </c>
      <c r="M284" s="66">
        <f>I284*'Rate Codes'!$D$8</f>
        <v>33.26138348</v>
      </c>
      <c r="N284" s="67">
        <f>(H284)*'Billing Rate'!$B$1</f>
        <v>-104.3208441</v>
      </c>
      <c r="O284" s="25">
        <f t="shared" si="175"/>
        <v>120.012802</v>
      </c>
      <c r="P284" s="81">
        <f t="shared" si="176"/>
        <v>15.69195781</v>
      </c>
      <c r="Q284" s="25">
        <f t="shared" si="177"/>
        <v>6.000640098</v>
      </c>
      <c r="R284" s="81">
        <f t="shared" si="178"/>
        <v>21.69259791</v>
      </c>
    </row>
    <row r="285">
      <c r="A285" s="12"/>
      <c r="B285" s="80" t="s">
        <v>124</v>
      </c>
      <c r="C285" s="87">
        <v>30.0</v>
      </c>
      <c r="D285" s="86">
        <v>0.4756958333333334</v>
      </c>
      <c r="E285" s="88">
        <v>0.09825803101</v>
      </c>
      <c r="F285" s="89">
        <f t="shared" si="171"/>
        <v>5865.077922</v>
      </c>
      <c r="G285" s="81">
        <v>5270.0</v>
      </c>
      <c r="H285" s="81">
        <f t="shared" si="172"/>
        <v>-595.0779216</v>
      </c>
      <c r="I285" s="25">
        <f t="shared" si="173"/>
        <v>2757.069213</v>
      </c>
      <c r="J285" s="64">
        <f>C285*'Rate Codes'!$D$7</f>
        <v>51.76455</v>
      </c>
      <c r="K285" s="25">
        <f>I285*'Rate Codes'!$D$8</f>
        <v>35.71231751</v>
      </c>
      <c r="L285" s="81">
        <f t="shared" si="174"/>
        <v>87.47686751</v>
      </c>
      <c r="M285" s="66">
        <f>I285*'Rate Codes'!$D$8</f>
        <v>35.71231751</v>
      </c>
      <c r="N285" s="67">
        <f>(H285)*'Billing Rate'!$B$1</f>
        <v>-40.46529867</v>
      </c>
      <c r="O285" s="25">
        <f t="shared" si="175"/>
        <v>123.189185</v>
      </c>
      <c r="P285" s="81">
        <f t="shared" si="176"/>
        <v>82.72388636</v>
      </c>
      <c r="Q285" s="25">
        <f t="shared" si="177"/>
        <v>6.159459251</v>
      </c>
      <c r="R285" s="81">
        <f t="shared" si="178"/>
        <v>88.88334561</v>
      </c>
    </row>
    <row r="286">
      <c r="A286" s="12"/>
      <c r="B286" s="80" t="s">
        <v>125</v>
      </c>
      <c r="C286" s="87">
        <v>31.0</v>
      </c>
      <c r="D286" s="86">
        <v>0.5590291666666667</v>
      </c>
      <c r="E286" s="88">
        <v>0.06840443866</v>
      </c>
      <c r="F286" s="89">
        <f t="shared" si="171"/>
        <v>4083.099964</v>
      </c>
      <c r="G286" s="81">
        <v>5946.0</v>
      </c>
      <c r="H286" s="81">
        <f t="shared" si="172"/>
        <v>1862.900036</v>
      </c>
      <c r="I286" s="25">
        <f t="shared" si="173"/>
        <v>3655.670786</v>
      </c>
      <c r="J286" s="64">
        <f>C286*'Rate Codes'!$D$7</f>
        <v>53.490035</v>
      </c>
      <c r="K286" s="25">
        <f>I286*'Rate Codes'!$D$8</f>
        <v>47.3519037</v>
      </c>
      <c r="L286" s="81">
        <f t="shared" si="174"/>
        <v>100.8419387</v>
      </c>
      <c r="M286" s="66">
        <f>I286*'Rate Codes'!$D$8</f>
        <v>47.3519037</v>
      </c>
      <c r="N286" s="67">
        <f>(H286)*'Billing Rate'!$B$1</f>
        <v>126.6772024</v>
      </c>
      <c r="O286" s="25">
        <f t="shared" si="175"/>
        <v>148.1938424</v>
      </c>
      <c r="P286" s="81">
        <f t="shared" si="176"/>
        <v>274.8710448</v>
      </c>
      <c r="Q286" s="25">
        <f t="shared" si="177"/>
        <v>13.74355224</v>
      </c>
      <c r="R286" s="81">
        <f t="shared" si="178"/>
        <v>288.6145971</v>
      </c>
    </row>
    <row r="287">
      <c r="A287" s="12"/>
      <c r="B287" s="80" t="s">
        <v>126</v>
      </c>
      <c r="C287" s="87">
        <v>30.0</v>
      </c>
      <c r="D287" s="86">
        <v>0.63125</v>
      </c>
      <c r="E287" s="88">
        <v>0.0271408052</v>
      </c>
      <c r="F287" s="89">
        <f t="shared" si="171"/>
        <v>1620.050145</v>
      </c>
      <c r="G287" s="81">
        <v>5587.0</v>
      </c>
      <c r="H287" s="81">
        <f t="shared" si="172"/>
        <v>3966.949855</v>
      </c>
      <c r="I287" s="25">
        <f t="shared" si="173"/>
        <v>3878.714096</v>
      </c>
      <c r="J287" s="64">
        <f>C287*'Rate Codes'!$D$7</f>
        <v>51.76455</v>
      </c>
      <c r="K287" s="25">
        <f>I287*'Rate Codes'!$D$8</f>
        <v>50.24098369</v>
      </c>
      <c r="L287" s="81">
        <f t="shared" si="174"/>
        <v>102.0055337</v>
      </c>
      <c r="M287" s="66">
        <f>I287*'Rate Codes'!$D$8</f>
        <v>50.24098369</v>
      </c>
      <c r="N287" s="67">
        <f>(H287)*'Billing Rate'!$B$1</f>
        <v>269.7525902</v>
      </c>
      <c r="O287" s="25">
        <f t="shared" si="175"/>
        <v>152.2465174</v>
      </c>
      <c r="P287" s="81">
        <f t="shared" si="176"/>
        <v>421.9991075</v>
      </c>
      <c r="Q287" s="25">
        <f t="shared" si="177"/>
        <v>21.09995538</v>
      </c>
      <c r="R287" s="81">
        <f t="shared" si="178"/>
        <v>443.0990629</v>
      </c>
    </row>
    <row r="288">
      <c r="A288" s="12"/>
      <c r="B288" s="80" t="s">
        <v>127</v>
      </c>
      <c r="C288" s="87">
        <v>31.0</v>
      </c>
      <c r="D288" s="86">
        <v>0.6680541666666667</v>
      </c>
      <c r="E288" s="88">
        <v>0.01559005293</v>
      </c>
      <c r="F288" s="89">
        <f t="shared" si="171"/>
        <v>930.5791526</v>
      </c>
      <c r="G288" s="81">
        <v>5490.0</v>
      </c>
      <c r="H288" s="81">
        <f t="shared" si="172"/>
        <v>4559.420847</v>
      </c>
      <c r="I288" s="25">
        <f t="shared" si="173"/>
        <v>4033.589776</v>
      </c>
      <c r="J288" s="64">
        <f>C288*'Rate Codes'!$D$7</f>
        <v>53.490035</v>
      </c>
      <c r="K288" s="25">
        <f>I288*'Rate Codes'!$D$8</f>
        <v>52.24708837</v>
      </c>
      <c r="L288" s="81">
        <f t="shared" si="174"/>
        <v>105.7371234</v>
      </c>
      <c r="M288" s="66">
        <f>I288*'Rate Codes'!$D$8</f>
        <v>52.24708837</v>
      </c>
      <c r="N288" s="67">
        <f>(H288)*'Billing Rate'!$B$1</f>
        <v>310.0406176</v>
      </c>
      <c r="O288" s="25">
        <f t="shared" si="175"/>
        <v>157.9842117</v>
      </c>
      <c r="P288" s="81">
        <f t="shared" si="176"/>
        <v>468.0248294</v>
      </c>
      <c r="Q288" s="25">
        <f t="shared" si="177"/>
        <v>23.40124147</v>
      </c>
      <c r="R288" s="81">
        <f t="shared" si="178"/>
        <v>491.4260708</v>
      </c>
    </row>
    <row r="289">
      <c r="A289" s="12"/>
      <c r="B289" s="77" t="s">
        <v>109</v>
      </c>
      <c r="C289" s="82"/>
      <c r="D289" s="83"/>
      <c r="E289" s="83">
        <f t="shared" ref="E289:N289" si="179">SUM(E277:E288)</f>
        <v>1</v>
      </c>
      <c r="F289" s="84">
        <f t="shared" si="179"/>
        <v>59690.57044</v>
      </c>
      <c r="G289" s="85">
        <f t="shared" si="179"/>
        <v>66307</v>
      </c>
      <c r="H289" s="85">
        <f t="shared" si="179"/>
        <v>6616.429556</v>
      </c>
      <c r="I289" s="48">
        <f t="shared" si="179"/>
        <v>35771.96739</v>
      </c>
      <c r="J289" s="85">
        <f t="shared" si="179"/>
        <v>629.802025</v>
      </c>
      <c r="K289" s="85">
        <f t="shared" si="179"/>
        <v>463.3542936</v>
      </c>
      <c r="L289" s="85">
        <f t="shared" si="179"/>
        <v>1093.156319</v>
      </c>
      <c r="M289" s="85">
        <f t="shared" si="179"/>
        <v>463.3542936</v>
      </c>
      <c r="N289" s="85">
        <f t="shared" si="179"/>
        <v>449.9172098</v>
      </c>
      <c r="O289" s="48">
        <f t="shared" si="175"/>
        <v>1556.510612</v>
      </c>
      <c r="P289" s="85">
        <f t="shared" ref="P289:R289" si="180">SUM(P277:P288)</f>
        <v>2006.427822</v>
      </c>
      <c r="Q289" s="85">
        <f t="shared" si="180"/>
        <v>135.6452605</v>
      </c>
      <c r="R289" s="85">
        <f t="shared" si="180"/>
        <v>2142.073083</v>
      </c>
    </row>
    <row r="291">
      <c r="A291" s="76">
        <v>18.0</v>
      </c>
      <c r="B291" s="12" t="s">
        <v>128</v>
      </c>
      <c r="C291" s="12"/>
      <c r="D291" s="15"/>
      <c r="E291" s="15">
        <f>$E$1* POW((1 -$H$1),A291)</f>
        <v>59392.11759</v>
      </c>
      <c r="F291" s="1" t="s">
        <v>132</v>
      </c>
      <c r="G291" s="8">
        <f>E291/G305</f>
        <v>0.8957141417</v>
      </c>
      <c r="H291" s="1" t="s">
        <v>133</v>
      </c>
      <c r="I291" s="6">
        <f>1-G291</f>
        <v>0.1042858583</v>
      </c>
      <c r="J291" s="12" t="s">
        <v>74</v>
      </c>
      <c r="M291" s="12" t="s">
        <v>78</v>
      </c>
      <c r="N291" s="12"/>
      <c r="O291" s="12"/>
      <c r="P291" s="12"/>
      <c r="Q291" s="12"/>
      <c r="R291" s="12"/>
    </row>
    <row r="292">
      <c r="A292" s="12"/>
      <c r="B292" s="77" t="s">
        <v>83</v>
      </c>
      <c r="C292" s="78" t="s">
        <v>88</v>
      </c>
      <c r="D292" s="44" t="s">
        <v>87</v>
      </c>
      <c r="E292" s="77" t="s">
        <v>140</v>
      </c>
      <c r="F292" s="77" t="s">
        <v>135</v>
      </c>
      <c r="G292" s="78" t="s">
        <v>89</v>
      </c>
      <c r="H292" s="78" t="s">
        <v>138</v>
      </c>
      <c r="I292" s="20" t="s">
        <v>139</v>
      </c>
      <c r="J292" s="78" t="s">
        <v>76</v>
      </c>
      <c r="K292" s="78" t="s">
        <v>82</v>
      </c>
      <c r="L292" s="78" t="s">
        <v>109</v>
      </c>
      <c r="M292" s="78" t="s">
        <v>80</v>
      </c>
      <c r="N292" s="78" t="s">
        <v>67</v>
      </c>
      <c r="O292" s="45" t="s">
        <v>114</v>
      </c>
      <c r="P292" s="79" t="s">
        <v>115</v>
      </c>
      <c r="Q292" s="79" t="s">
        <v>60</v>
      </c>
      <c r="R292" s="79" t="s">
        <v>109</v>
      </c>
    </row>
    <row r="293">
      <c r="A293" s="12"/>
      <c r="B293" s="80" t="s">
        <v>117</v>
      </c>
      <c r="C293" s="87">
        <v>31.0</v>
      </c>
      <c r="D293" s="86">
        <v>0.6479166666666667</v>
      </c>
      <c r="E293" s="88">
        <v>0.02731296772</v>
      </c>
      <c r="F293" s="89">
        <f t="shared" ref="F293:F304" si="181">$E$291*E293</f>
        <v>1622.174991</v>
      </c>
      <c r="G293" s="81">
        <v>5726.0</v>
      </c>
      <c r="H293" s="81">
        <f t="shared" ref="H293:H304" si="182">G293-F293</f>
        <v>4103.825009</v>
      </c>
      <c r="I293" s="25">
        <f t="shared" ref="I293:I304" si="183">D293*G293*(1+$I$291)</f>
        <v>4096.868326</v>
      </c>
      <c r="J293" s="64">
        <f>C293*'Rate Codes'!$D$7</f>
        <v>53.490035</v>
      </c>
      <c r="K293" s="25">
        <f>I293*'Rate Codes'!$D$8</f>
        <v>53.06673543</v>
      </c>
      <c r="L293" s="81">
        <f t="shared" ref="L293:L304" si="184">SUM(J293:K293)</f>
        <v>106.5567704</v>
      </c>
      <c r="M293" s="66">
        <f>I293*'Rate Codes'!$D$8</f>
        <v>53.06673543</v>
      </c>
      <c r="N293" s="67">
        <f>(H293)*'Billing Rate'!$B$1</f>
        <v>279.0601006</v>
      </c>
      <c r="O293" s="25">
        <f t="shared" ref="O293:O305" si="185">L293+M293</f>
        <v>159.6235059</v>
      </c>
      <c r="P293" s="81">
        <f t="shared" ref="P293:P304" si="186">N293+L293+M293</f>
        <v>438.6836065</v>
      </c>
      <c r="Q293" s="25">
        <f t="shared" ref="Q293:Q304" si="187">(IF(N293&gt;0,N293,0)+O293)*0.05</f>
        <v>21.93418032</v>
      </c>
      <c r="R293" s="81">
        <f t="shared" ref="R293:R304" si="188">P293+Q293</f>
        <v>460.6177868</v>
      </c>
    </row>
    <row r="294">
      <c r="A294" s="12"/>
      <c r="B294" s="80" t="s">
        <v>118</v>
      </c>
      <c r="C294" s="87">
        <v>28.0</v>
      </c>
      <c r="D294" s="86">
        <v>0.5868041666666667</v>
      </c>
      <c r="E294" s="88">
        <v>0.04620731865</v>
      </c>
      <c r="F294" s="89">
        <f t="shared" si="181"/>
        <v>2744.350503</v>
      </c>
      <c r="G294" s="81">
        <v>5279.0</v>
      </c>
      <c r="H294" s="81">
        <f t="shared" si="182"/>
        <v>2534.649497</v>
      </c>
      <c r="I294" s="25">
        <f t="shared" si="183"/>
        <v>3420.789587</v>
      </c>
      <c r="J294" s="64">
        <f>C294*'Rate Codes'!$D$7</f>
        <v>48.31358</v>
      </c>
      <c r="K294" s="25">
        <f>I294*'Rate Codes'!$D$8</f>
        <v>44.30948752</v>
      </c>
      <c r="L294" s="81">
        <f t="shared" si="184"/>
        <v>92.62306752</v>
      </c>
      <c r="M294" s="66">
        <f>I294*'Rate Codes'!$D$8</f>
        <v>44.30948752</v>
      </c>
      <c r="N294" s="67">
        <f>(H294)*'Billing Rate'!$B$1</f>
        <v>172.3561658</v>
      </c>
      <c r="O294" s="25">
        <f t="shared" si="185"/>
        <v>136.932555</v>
      </c>
      <c r="P294" s="81">
        <f t="shared" si="186"/>
        <v>309.2887208</v>
      </c>
      <c r="Q294" s="25">
        <f t="shared" si="187"/>
        <v>15.46443604</v>
      </c>
      <c r="R294" s="81">
        <f t="shared" si="188"/>
        <v>324.7531569</v>
      </c>
    </row>
    <row r="295">
      <c r="A295" s="12"/>
      <c r="B295" s="80" t="s">
        <v>119</v>
      </c>
      <c r="C295" s="87">
        <v>31.0</v>
      </c>
      <c r="D295" s="86">
        <v>0.5083333333333333</v>
      </c>
      <c r="E295" s="88">
        <v>0.08500831624</v>
      </c>
      <c r="F295" s="89">
        <f t="shared" si="181"/>
        <v>5048.823914</v>
      </c>
      <c r="G295" s="81">
        <v>4991.0</v>
      </c>
      <c r="H295" s="81">
        <f t="shared" si="182"/>
        <v>-57.82391432</v>
      </c>
      <c r="I295" s="25">
        <f t="shared" si="183"/>
        <v>2801.674449</v>
      </c>
      <c r="J295" s="64">
        <f>C295*'Rate Codes'!$D$7</f>
        <v>53.490035</v>
      </c>
      <c r="K295" s="25">
        <f>I295*'Rate Codes'!$D$8</f>
        <v>36.29008914</v>
      </c>
      <c r="L295" s="81">
        <f t="shared" si="184"/>
        <v>89.78012414</v>
      </c>
      <c r="M295" s="66">
        <f>I295*'Rate Codes'!$D$8</f>
        <v>36.29008914</v>
      </c>
      <c r="N295" s="67">
        <f>(H295)*'Billing Rate'!$B$1</f>
        <v>-3.932026174</v>
      </c>
      <c r="O295" s="25">
        <f t="shared" si="185"/>
        <v>126.0702133</v>
      </c>
      <c r="P295" s="81">
        <f t="shared" si="186"/>
        <v>122.1381871</v>
      </c>
      <c r="Q295" s="25">
        <f t="shared" si="187"/>
        <v>6.303510664</v>
      </c>
      <c r="R295" s="81">
        <f t="shared" si="188"/>
        <v>128.4416978</v>
      </c>
    </row>
    <row r="296">
      <c r="A296" s="12"/>
      <c r="B296" s="80" t="s">
        <v>120</v>
      </c>
      <c r="C296" s="87">
        <v>30.0</v>
      </c>
      <c r="D296" s="86">
        <v>0.425</v>
      </c>
      <c r="E296" s="88">
        <v>0.108773175</v>
      </c>
      <c r="F296" s="89">
        <f t="shared" si="181"/>
        <v>6460.2692</v>
      </c>
      <c r="G296" s="81">
        <v>4952.0</v>
      </c>
      <c r="H296" s="81">
        <f t="shared" si="182"/>
        <v>-1508.2692</v>
      </c>
      <c r="I296" s="25">
        <f t="shared" si="183"/>
        <v>2324.080017</v>
      </c>
      <c r="J296" s="64">
        <f>C296*'Rate Codes'!$D$7</f>
        <v>51.76455</v>
      </c>
      <c r="K296" s="25">
        <f>I296*'Rate Codes'!$D$8</f>
        <v>30.10380847</v>
      </c>
      <c r="L296" s="81">
        <f t="shared" si="184"/>
        <v>81.86835847</v>
      </c>
      <c r="M296" s="66">
        <f>I296*'Rate Codes'!$D$8</f>
        <v>30.10380847</v>
      </c>
      <c r="N296" s="67">
        <f>(H296)*'Billing Rate'!$B$1</f>
        <v>-102.5623056</v>
      </c>
      <c r="O296" s="25">
        <f t="shared" si="185"/>
        <v>111.9721669</v>
      </c>
      <c r="P296" s="81">
        <f t="shared" si="186"/>
        <v>9.40986131</v>
      </c>
      <c r="Q296" s="25">
        <f t="shared" si="187"/>
        <v>5.598608347</v>
      </c>
      <c r="R296" s="81">
        <f t="shared" si="188"/>
        <v>15.00846966</v>
      </c>
    </row>
    <row r="297">
      <c r="A297" s="12"/>
      <c r="B297" s="80" t="s">
        <v>98</v>
      </c>
      <c r="C297" s="87">
        <v>31.0</v>
      </c>
      <c r="D297" s="86">
        <v>0.35277916666666664</v>
      </c>
      <c r="E297" s="88">
        <v>0.1281742617</v>
      </c>
      <c r="F297" s="89">
        <f t="shared" si="181"/>
        <v>7612.540823</v>
      </c>
      <c r="G297" s="81">
        <v>5559.0</v>
      </c>
      <c r="H297" s="81">
        <f t="shared" si="182"/>
        <v>-2053.540823</v>
      </c>
      <c r="I297" s="25">
        <f t="shared" si="183"/>
        <v>2165.61432</v>
      </c>
      <c r="J297" s="64">
        <f>C297*'Rate Codes'!$D$7</f>
        <v>53.490035</v>
      </c>
      <c r="K297" s="25">
        <f>I297*'Rate Codes'!$D$8</f>
        <v>28.05120229</v>
      </c>
      <c r="L297" s="81">
        <f t="shared" si="184"/>
        <v>81.54123729</v>
      </c>
      <c r="M297" s="66">
        <f>I297*'Rate Codes'!$D$8</f>
        <v>28.05120229</v>
      </c>
      <c r="N297" s="67">
        <f>(H297)*'Billing Rate'!$B$1</f>
        <v>-139.640776</v>
      </c>
      <c r="O297" s="25">
        <f t="shared" si="185"/>
        <v>109.5924396</v>
      </c>
      <c r="P297" s="81">
        <f t="shared" si="186"/>
        <v>-30.04833638</v>
      </c>
      <c r="Q297" s="25">
        <f t="shared" si="187"/>
        <v>5.479621979</v>
      </c>
      <c r="R297" s="81">
        <f t="shared" si="188"/>
        <v>-24.5687144</v>
      </c>
    </row>
    <row r="298">
      <c r="A298" s="12"/>
      <c r="B298" s="80" t="s">
        <v>121</v>
      </c>
      <c r="C298" s="87">
        <v>30.0</v>
      </c>
      <c r="D298" s="86">
        <v>0.31388750000000004</v>
      </c>
      <c r="E298" s="88">
        <v>0.1254860808</v>
      </c>
      <c r="F298" s="89">
        <f t="shared" si="181"/>
        <v>7452.884067</v>
      </c>
      <c r="G298" s="81">
        <v>4964.0</v>
      </c>
      <c r="H298" s="81">
        <f t="shared" si="182"/>
        <v>-2488.884067</v>
      </c>
      <c r="I298" s="25">
        <f t="shared" si="183"/>
        <v>1720.629262</v>
      </c>
      <c r="J298" s="64">
        <f>C298*'Rate Codes'!$D$7</f>
        <v>51.76455</v>
      </c>
      <c r="K298" s="25">
        <f>I298*'Rate Codes'!$D$8</f>
        <v>22.28731083</v>
      </c>
      <c r="L298" s="81">
        <f t="shared" si="184"/>
        <v>74.05186083</v>
      </c>
      <c r="M298" s="66">
        <f>I298*'Rate Codes'!$D$8</f>
        <v>22.28731083</v>
      </c>
      <c r="N298" s="67">
        <f>(H298)*'Billing Rate'!$B$1</f>
        <v>-169.2441165</v>
      </c>
      <c r="O298" s="25">
        <f t="shared" si="185"/>
        <v>96.33917166</v>
      </c>
      <c r="P298" s="81">
        <f t="shared" si="186"/>
        <v>-72.90494489</v>
      </c>
      <c r="Q298" s="25">
        <f t="shared" si="187"/>
        <v>4.816958583</v>
      </c>
      <c r="R298" s="81">
        <f t="shared" si="188"/>
        <v>-68.08798631</v>
      </c>
    </row>
    <row r="299">
      <c r="A299" s="12"/>
      <c r="B299" s="80" t="s">
        <v>122</v>
      </c>
      <c r="C299" s="87">
        <v>31.0</v>
      </c>
      <c r="D299" s="86">
        <v>0.33125</v>
      </c>
      <c r="E299" s="88">
        <v>0.1449493112</v>
      </c>
      <c r="F299" s="89">
        <f t="shared" si="181"/>
        <v>8608.846535</v>
      </c>
      <c r="G299" s="81">
        <v>6634.0</v>
      </c>
      <c r="H299" s="81">
        <f t="shared" si="182"/>
        <v>-1974.846535</v>
      </c>
      <c r="I299" s="25">
        <f t="shared" si="183"/>
        <v>2426.681977</v>
      </c>
      <c r="J299" s="64">
        <f>C299*'Rate Codes'!$D$7</f>
        <v>53.490035</v>
      </c>
      <c r="K299" s="25">
        <f>I299*'Rate Codes'!$D$8</f>
        <v>31.43281165</v>
      </c>
      <c r="L299" s="81">
        <f t="shared" si="184"/>
        <v>84.92284665</v>
      </c>
      <c r="M299" s="66">
        <f>I299*'Rate Codes'!$D$8</f>
        <v>31.43281165</v>
      </c>
      <c r="N299" s="67">
        <f>(H299)*'Billing Rate'!$B$1</f>
        <v>-134.2895644</v>
      </c>
      <c r="O299" s="25">
        <f t="shared" si="185"/>
        <v>116.3556583</v>
      </c>
      <c r="P299" s="81">
        <f t="shared" si="186"/>
        <v>-17.93390611</v>
      </c>
      <c r="Q299" s="25">
        <f t="shared" si="187"/>
        <v>5.817782915</v>
      </c>
      <c r="R299" s="81">
        <f t="shared" si="188"/>
        <v>-12.1161232</v>
      </c>
    </row>
    <row r="300">
      <c r="A300" s="12"/>
      <c r="B300" s="80" t="s">
        <v>123</v>
      </c>
      <c r="C300" s="87">
        <v>31.0</v>
      </c>
      <c r="D300" s="86">
        <v>0.3951375</v>
      </c>
      <c r="E300" s="88">
        <v>0.1246952409</v>
      </c>
      <c r="F300" s="89">
        <f t="shared" si="181"/>
        <v>7405.914411</v>
      </c>
      <c r="G300" s="81">
        <v>5909.0</v>
      </c>
      <c r="H300" s="81">
        <f t="shared" si="182"/>
        <v>-1496.914411</v>
      </c>
      <c r="I300" s="25">
        <f t="shared" si="183"/>
        <v>2578.361148</v>
      </c>
      <c r="J300" s="64">
        <f>C300*'Rate Codes'!$D$7</f>
        <v>53.490035</v>
      </c>
      <c r="K300" s="25">
        <f>I300*'Rate Codes'!$D$8</f>
        <v>33.39751194</v>
      </c>
      <c r="L300" s="81">
        <f t="shared" si="184"/>
        <v>86.88754694</v>
      </c>
      <c r="M300" s="66">
        <f>I300*'Rate Codes'!$D$8</f>
        <v>33.39751194</v>
      </c>
      <c r="N300" s="67">
        <f>(H300)*'Billing Rate'!$B$1</f>
        <v>-101.7901799</v>
      </c>
      <c r="O300" s="25">
        <f t="shared" si="185"/>
        <v>120.2850589</v>
      </c>
      <c r="P300" s="81">
        <f t="shared" si="186"/>
        <v>18.49487897</v>
      </c>
      <c r="Q300" s="25">
        <f t="shared" si="187"/>
        <v>6.014252944</v>
      </c>
      <c r="R300" s="81">
        <f t="shared" si="188"/>
        <v>24.50913192</v>
      </c>
    </row>
    <row r="301">
      <c r="A301" s="12"/>
      <c r="B301" s="80" t="s">
        <v>124</v>
      </c>
      <c r="C301" s="87">
        <v>30.0</v>
      </c>
      <c r="D301" s="86">
        <v>0.4756958333333334</v>
      </c>
      <c r="E301" s="88">
        <v>0.09825803101</v>
      </c>
      <c r="F301" s="89">
        <f t="shared" si="181"/>
        <v>5835.752532</v>
      </c>
      <c r="G301" s="81">
        <v>5270.0</v>
      </c>
      <c r="H301" s="81">
        <f t="shared" si="182"/>
        <v>-565.752532</v>
      </c>
      <c r="I301" s="25">
        <f t="shared" si="183"/>
        <v>2768.353037</v>
      </c>
      <c r="J301" s="64">
        <f>C301*'Rate Codes'!$D$7</f>
        <v>51.76455</v>
      </c>
      <c r="K301" s="25">
        <f>I301*'Rate Codes'!$D$8</f>
        <v>35.85847689</v>
      </c>
      <c r="L301" s="81">
        <f t="shared" si="184"/>
        <v>87.62302689</v>
      </c>
      <c r="M301" s="66">
        <f>I301*'Rate Codes'!$D$8</f>
        <v>35.85847689</v>
      </c>
      <c r="N301" s="67">
        <f>(H301)*'Billing Rate'!$B$1</f>
        <v>-38.47117218</v>
      </c>
      <c r="O301" s="25">
        <f t="shared" si="185"/>
        <v>123.4815038</v>
      </c>
      <c r="P301" s="81">
        <f t="shared" si="186"/>
        <v>85.01033161</v>
      </c>
      <c r="Q301" s="25">
        <f t="shared" si="187"/>
        <v>6.174075189</v>
      </c>
      <c r="R301" s="81">
        <f t="shared" si="188"/>
        <v>91.18440679</v>
      </c>
    </row>
    <row r="302">
      <c r="A302" s="12"/>
      <c r="B302" s="80" t="s">
        <v>125</v>
      </c>
      <c r="C302" s="87">
        <v>31.0</v>
      </c>
      <c r="D302" s="86">
        <v>0.5590291666666667</v>
      </c>
      <c r="E302" s="88">
        <v>0.06840443866</v>
      </c>
      <c r="F302" s="89">
        <f t="shared" si="181"/>
        <v>4062.684465</v>
      </c>
      <c r="G302" s="81">
        <v>5946.0</v>
      </c>
      <c r="H302" s="81">
        <f t="shared" si="182"/>
        <v>1883.315535</v>
      </c>
      <c r="I302" s="25">
        <f t="shared" si="183"/>
        <v>3670.632307</v>
      </c>
      <c r="J302" s="64">
        <f>C302*'Rate Codes'!$D$7</f>
        <v>53.490035</v>
      </c>
      <c r="K302" s="25">
        <f>I302*'Rate Codes'!$D$8</f>
        <v>47.54570027</v>
      </c>
      <c r="L302" s="81">
        <f t="shared" si="184"/>
        <v>101.0357353</v>
      </c>
      <c r="M302" s="66">
        <f>I302*'Rate Codes'!$D$8</f>
        <v>47.54570027</v>
      </c>
      <c r="N302" s="67">
        <f>(H302)*'Billing Rate'!$B$1</f>
        <v>128.0654564</v>
      </c>
      <c r="O302" s="25">
        <f t="shared" si="185"/>
        <v>148.5814355</v>
      </c>
      <c r="P302" s="81">
        <f t="shared" si="186"/>
        <v>276.6468919</v>
      </c>
      <c r="Q302" s="25">
        <f t="shared" si="187"/>
        <v>13.8323446</v>
      </c>
      <c r="R302" s="81">
        <f t="shared" si="188"/>
        <v>290.4792365</v>
      </c>
    </row>
    <row r="303">
      <c r="A303" s="12"/>
      <c r="B303" s="80" t="s">
        <v>126</v>
      </c>
      <c r="C303" s="87">
        <v>30.0</v>
      </c>
      <c r="D303" s="86">
        <v>0.63125</v>
      </c>
      <c r="E303" s="88">
        <v>0.0271408052</v>
      </c>
      <c r="F303" s="89">
        <f t="shared" si="181"/>
        <v>1611.949894</v>
      </c>
      <c r="G303" s="81">
        <v>5587.0</v>
      </c>
      <c r="H303" s="81">
        <f t="shared" si="182"/>
        <v>3975.050106</v>
      </c>
      <c r="I303" s="25">
        <f t="shared" si="183"/>
        <v>3894.588463</v>
      </c>
      <c r="J303" s="64">
        <f>C303*'Rate Codes'!$D$7</f>
        <v>51.76455</v>
      </c>
      <c r="K303" s="25">
        <f>I303*'Rate Codes'!$D$8</f>
        <v>50.44660437</v>
      </c>
      <c r="L303" s="81">
        <f t="shared" si="184"/>
        <v>102.2111544</v>
      </c>
      <c r="M303" s="66">
        <f>I303*'Rate Codes'!$D$8</f>
        <v>50.44660437</v>
      </c>
      <c r="N303" s="67">
        <f>(H303)*'Billing Rate'!$B$1</f>
        <v>270.3034072</v>
      </c>
      <c r="O303" s="25">
        <f t="shared" si="185"/>
        <v>152.6577587</v>
      </c>
      <c r="P303" s="81">
        <f t="shared" si="186"/>
        <v>422.9611659</v>
      </c>
      <c r="Q303" s="25">
        <f t="shared" si="187"/>
        <v>21.1480583</v>
      </c>
      <c r="R303" s="81">
        <f t="shared" si="188"/>
        <v>444.1092242</v>
      </c>
    </row>
    <row r="304">
      <c r="A304" s="12"/>
      <c r="B304" s="80" t="s">
        <v>127</v>
      </c>
      <c r="C304" s="87">
        <v>31.0</v>
      </c>
      <c r="D304" s="86">
        <v>0.6680541666666667</v>
      </c>
      <c r="E304" s="88">
        <v>0.01559005293</v>
      </c>
      <c r="F304" s="89">
        <f t="shared" si="181"/>
        <v>925.9262569</v>
      </c>
      <c r="G304" s="81">
        <v>5490.0</v>
      </c>
      <c r="H304" s="81">
        <f t="shared" si="182"/>
        <v>4564.073743</v>
      </c>
      <c r="I304" s="25">
        <f t="shared" si="183"/>
        <v>4050.098001</v>
      </c>
      <c r="J304" s="64">
        <f>C304*'Rate Codes'!$D$7</f>
        <v>53.490035</v>
      </c>
      <c r="K304" s="25">
        <f>I304*'Rate Codes'!$D$8</f>
        <v>52.46091941</v>
      </c>
      <c r="L304" s="81">
        <f t="shared" si="184"/>
        <v>105.9509544</v>
      </c>
      <c r="M304" s="66">
        <f>I304*'Rate Codes'!$D$8</f>
        <v>52.46091941</v>
      </c>
      <c r="N304" s="67">
        <f>(H304)*'Billing Rate'!$B$1</f>
        <v>310.3570145</v>
      </c>
      <c r="O304" s="25">
        <f t="shared" si="185"/>
        <v>158.4118738</v>
      </c>
      <c r="P304" s="81">
        <f t="shared" si="186"/>
        <v>468.7688883</v>
      </c>
      <c r="Q304" s="25">
        <f t="shared" si="187"/>
        <v>23.43844442</v>
      </c>
      <c r="R304" s="81">
        <f t="shared" si="188"/>
        <v>492.2073328</v>
      </c>
    </row>
    <row r="305">
      <c r="A305" s="12"/>
      <c r="B305" s="77" t="s">
        <v>109</v>
      </c>
      <c r="C305" s="82"/>
      <c r="D305" s="83"/>
      <c r="E305" s="83">
        <f t="shared" ref="E305:N305" si="189">SUM(E293:E304)</f>
        <v>1</v>
      </c>
      <c r="F305" s="84">
        <f t="shared" si="189"/>
        <v>59392.11759</v>
      </c>
      <c r="G305" s="85">
        <f t="shared" si="189"/>
        <v>66307</v>
      </c>
      <c r="H305" s="85">
        <f t="shared" si="189"/>
        <v>6914.882409</v>
      </c>
      <c r="I305" s="48">
        <f t="shared" si="189"/>
        <v>35918.37089</v>
      </c>
      <c r="J305" s="85">
        <f t="shared" si="189"/>
        <v>629.802025</v>
      </c>
      <c r="K305" s="85">
        <f t="shared" si="189"/>
        <v>465.2506582</v>
      </c>
      <c r="L305" s="85">
        <f t="shared" si="189"/>
        <v>1095.052683</v>
      </c>
      <c r="M305" s="85">
        <f t="shared" si="189"/>
        <v>465.2506582</v>
      </c>
      <c r="N305" s="85">
        <f t="shared" si="189"/>
        <v>470.2120038</v>
      </c>
      <c r="O305" s="48">
        <f t="shared" si="185"/>
        <v>1560.303341</v>
      </c>
      <c r="P305" s="85">
        <f t="shared" ref="P305:R305" si="190">SUM(P293:P304)</f>
        <v>2030.515345</v>
      </c>
      <c r="Q305" s="85">
        <f t="shared" si="190"/>
        <v>136.0222743</v>
      </c>
      <c r="R305" s="85">
        <f t="shared" si="190"/>
        <v>2166.537619</v>
      </c>
    </row>
    <row r="307">
      <c r="A307" s="76">
        <v>19.0</v>
      </c>
      <c r="B307" s="12" t="s">
        <v>128</v>
      </c>
      <c r="C307" s="12"/>
      <c r="D307" s="15"/>
      <c r="E307" s="15">
        <f>$E$1* POW((1 -$H$1),A307)</f>
        <v>59095.157</v>
      </c>
      <c r="F307" s="1" t="s">
        <v>132</v>
      </c>
      <c r="G307" s="8">
        <f>E307/G321</f>
        <v>0.8912355709</v>
      </c>
      <c r="H307" s="1" t="s">
        <v>133</v>
      </c>
      <c r="I307" s="6">
        <f>1-G307</f>
        <v>0.1087644291</v>
      </c>
      <c r="J307" s="12" t="s">
        <v>74</v>
      </c>
      <c r="M307" s="12" t="s">
        <v>78</v>
      </c>
      <c r="N307" s="12"/>
      <c r="O307" s="12"/>
      <c r="P307" s="12"/>
      <c r="Q307" s="12"/>
      <c r="R307" s="12"/>
    </row>
    <row r="308">
      <c r="A308" s="12"/>
      <c r="B308" s="77" t="s">
        <v>83</v>
      </c>
      <c r="C308" s="78" t="s">
        <v>88</v>
      </c>
      <c r="D308" s="44" t="s">
        <v>87</v>
      </c>
      <c r="E308" s="77" t="s">
        <v>140</v>
      </c>
      <c r="F308" s="77" t="s">
        <v>135</v>
      </c>
      <c r="G308" s="78" t="s">
        <v>89</v>
      </c>
      <c r="H308" s="78" t="s">
        <v>138</v>
      </c>
      <c r="I308" s="20" t="s">
        <v>139</v>
      </c>
      <c r="J308" s="78" t="s">
        <v>76</v>
      </c>
      <c r="K308" s="78" t="s">
        <v>82</v>
      </c>
      <c r="L308" s="78" t="s">
        <v>109</v>
      </c>
      <c r="M308" s="78" t="s">
        <v>80</v>
      </c>
      <c r="N308" s="78" t="s">
        <v>67</v>
      </c>
      <c r="O308" s="45" t="s">
        <v>114</v>
      </c>
      <c r="P308" s="79" t="s">
        <v>115</v>
      </c>
      <c r="Q308" s="79" t="s">
        <v>60</v>
      </c>
      <c r="R308" s="79" t="s">
        <v>109</v>
      </c>
    </row>
    <row r="309">
      <c r="A309" s="12"/>
      <c r="B309" s="80" t="s">
        <v>117</v>
      </c>
      <c r="C309" s="87">
        <v>31.0</v>
      </c>
      <c r="D309" s="86">
        <v>0.6479166666666667</v>
      </c>
      <c r="E309" s="88">
        <v>0.02731296772</v>
      </c>
      <c r="F309" s="89">
        <f t="shared" ref="F309:F320" si="191">$E$307*E309</f>
        <v>1614.064116</v>
      </c>
      <c r="G309" s="81">
        <v>5726.0</v>
      </c>
      <c r="H309" s="81">
        <f t="shared" ref="H309:H320" si="192">G309-F309</f>
        <v>4111.935884</v>
      </c>
      <c r="I309" s="25">
        <f t="shared" ref="I309:I320" si="193">D309*G309*(1+$I$307)</f>
        <v>4113.483693</v>
      </c>
      <c r="J309" s="64">
        <f>C309*'Rate Codes'!$D$7</f>
        <v>53.490035</v>
      </c>
      <c r="K309" s="25">
        <f>I309*'Rate Codes'!$D$8</f>
        <v>53.28195427</v>
      </c>
      <c r="L309" s="81">
        <f t="shared" ref="L309:L320" si="194">SUM(J309:K309)</f>
        <v>106.7719893</v>
      </c>
      <c r="M309" s="66">
        <f>I309*'Rate Codes'!$D$8</f>
        <v>53.28195427</v>
      </c>
      <c r="N309" s="67">
        <f>(H309)*'Billing Rate'!$B$1</f>
        <v>279.6116401</v>
      </c>
      <c r="O309" s="25">
        <f t="shared" ref="O309:O321" si="195">L309+M309</f>
        <v>160.0539435</v>
      </c>
      <c r="P309" s="81">
        <f t="shared" ref="P309:P320" si="196">N309+L309+M309</f>
        <v>439.6655837</v>
      </c>
      <c r="Q309" s="25">
        <f t="shared" ref="Q309:Q320" si="197">(IF(N309&gt;0,N309,0)+O309)*0.05</f>
        <v>21.98327918</v>
      </c>
      <c r="R309" s="81">
        <f t="shared" ref="R309:R320" si="198">P309+Q309</f>
        <v>461.6488629</v>
      </c>
    </row>
    <row r="310">
      <c r="A310" s="12"/>
      <c r="B310" s="80" t="s">
        <v>118</v>
      </c>
      <c r="C310" s="87">
        <v>28.0</v>
      </c>
      <c r="D310" s="86">
        <v>0.5868041666666667</v>
      </c>
      <c r="E310" s="88">
        <v>0.04620731865</v>
      </c>
      <c r="F310" s="89">
        <f t="shared" si="191"/>
        <v>2730.62875</v>
      </c>
      <c r="G310" s="81">
        <v>5279.0</v>
      </c>
      <c r="H310" s="81">
        <f t="shared" si="192"/>
        <v>2548.37125</v>
      </c>
      <c r="I310" s="25">
        <f t="shared" si="193"/>
        <v>3434.663031</v>
      </c>
      <c r="J310" s="64">
        <f>C310*'Rate Codes'!$D$7</f>
        <v>48.31358</v>
      </c>
      <c r="K310" s="25">
        <f>I310*'Rate Codes'!$D$8</f>
        <v>44.48919024</v>
      </c>
      <c r="L310" s="81">
        <f t="shared" si="194"/>
        <v>92.80277024</v>
      </c>
      <c r="M310" s="66">
        <f>I310*'Rate Codes'!$D$8</f>
        <v>44.48919024</v>
      </c>
      <c r="N310" s="67">
        <f>(H310)*'Billing Rate'!$B$1</f>
        <v>173.289245</v>
      </c>
      <c r="O310" s="25">
        <f t="shared" si="195"/>
        <v>137.2919605</v>
      </c>
      <c r="P310" s="81">
        <f t="shared" si="196"/>
        <v>310.5812055</v>
      </c>
      <c r="Q310" s="25">
        <f t="shared" si="197"/>
        <v>15.52906027</v>
      </c>
      <c r="R310" s="81">
        <f t="shared" si="198"/>
        <v>326.1102657</v>
      </c>
    </row>
    <row r="311">
      <c r="A311" s="12"/>
      <c r="B311" s="80" t="s">
        <v>119</v>
      </c>
      <c r="C311" s="87">
        <v>31.0</v>
      </c>
      <c r="D311" s="86">
        <v>0.5083333333333333</v>
      </c>
      <c r="E311" s="88">
        <v>0.08500831624</v>
      </c>
      <c r="F311" s="89">
        <f t="shared" si="191"/>
        <v>5023.579795</v>
      </c>
      <c r="G311" s="81">
        <v>4991.0</v>
      </c>
      <c r="H311" s="81">
        <f t="shared" si="192"/>
        <v>-32.57979475</v>
      </c>
      <c r="I311" s="25">
        <f t="shared" si="193"/>
        <v>2813.036993</v>
      </c>
      <c r="J311" s="64">
        <f>C311*'Rate Codes'!$D$7</f>
        <v>53.490035</v>
      </c>
      <c r="K311" s="25">
        <f>I311*'Rate Codes'!$D$8</f>
        <v>36.43726817</v>
      </c>
      <c r="L311" s="81">
        <f t="shared" si="194"/>
        <v>89.92730317</v>
      </c>
      <c r="M311" s="66">
        <f>I311*'Rate Codes'!$D$8</f>
        <v>36.43726817</v>
      </c>
      <c r="N311" s="67">
        <f>(H311)*'Billing Rate'!$B$1</f>
        <v>-2.215426043</v>
      </c>
      <c r="O311" s="25">
        <f t="shared" si="195"/>
        <v>126.3645713</v>
      </c>
      <c r="P311" s="81">
        <f t="shared" si="196"/>
        <v>124.1491453</v>
      </c>
      <c r="Q311" s="25">
        <f t="shared" si="197"/>
        <v>6.318228567</v>
      </c>
      <c r="R311" s="81">
        <f t="shared" si="198"/>
        <v>130.4673739</v>
      </c>
    </row>
    <row r="312">
      <c r="A312" s="12"/>
      <c r="B312" s="80" t="s">
        <v>120</v>
      </c>
      <c r="C312" s="87">
        <v>30.0</v>
      </c>
      <c r="D312" s="86">
        <v>0.425</v>
      </c>
      <c r="E312" s="88">
        <v>0.108773175</v>
      </c>
      <c r="F312" s="89">
        <f t="shared" si="191"/>
        <v>6427.967854</v>
      </c>
      <c r="G312" s="81">
        <v>4952.0</v>
      </c>
      <c r="H312" s="81">
        <f t="shared" si="192"/>
        <v>-1475.967854</v>
      </c>
      <c r="I312" s="25">
        <f t="shared" si="193"/>
        <v>2333.505617</v>
      </c>
      <c r="J312" s="64">
        <f>C312*'Rate Codes'!$D$7</f>
        <v>51.76455</v>
      </c>
      <c r="K312" s="25">
        <f>I312*'Rate Codes'!$D$8</f>
        <v>30.22589826</v>
      </c>
      <c r="L312" s="81">
        <f t="shared" si="194"/>
        <v>81.99044826</v>
      </c>
      <c r="M312" s="66">
        <f>I312*'Rate Codes'!$D$8</f>
        <v>30.22589826</v>
      </c>
      <c r="N312" s="67">
        <f>(H312)*'Billing Rate'!$B$1</f>
        <v>-100.3658141</v>
      </c>
      <c r="O312" s="25">
        <f t="shared" si="195"/>
        <v>112.2163465</v>
      </c>
      <c r="P312" s="81">
        <f t="shared" si="196"/>
        <v>11.85053243</v>
      </c>
      <c r="Q312" s="25">
        <f t="shared" si="197"/>
        <v>5.610817326</v>
      </c>
      <c r="R312" s="81">
        <f t="shared" si="198"/>
        <v>17.46134976</v>
      </c>
    </row>
    <row r="313">
      <c r="A313" s="12"/>
      <c r="B313" s="80" t="s">
        <v>98</v>
      </c>
      <c r="C313" s="87">
        <v>31.0</v>
      </c>
      <c r="D313" s="86">
        <v>0.35277916666666664</v>
      </c>
      <c r="E313" s="88">
        <v>0.1281742617</v>
      </c>
      <c r="F313" s="89">
        <f t="shared" si="191"/>
        <v>7574.478119</v>
      </c>
      <c r="G313" s="81">
        <v>5559.0</v>
      </c>
      <c r="H313" s="81">
        <f t="shared" si="192"/>
        <v>-2015.478119</v>
      </c>
      <c r="I313" s="25">
        <f t="shared" si="193"/>
        <v>2174.397243</v>
      </c>
      <c r="J313" s="64">
        <f>C313*'Rate Codes'!$D$7</f>
        <v>53.490035</v>
      </c>
      <c r="K313" s="25">
        <f>I313*'Rate Codes'!$D$8</f>
        <v>28.16496748</v>
      </c>
      <c r="L313" s="81">
        <f t="shared" si="194"/>
        <v>81.65500248</v>
      </c>
      <c r="M313" s="66">
        <f>I313*'Rate Codes'!$D$8</f>
        <v>28.16496748</v>
      </c>
      <c r="N313" s="67">
        <f>(H313)*'Billing Rate'!$B$1</f>
        <v>-137.0525121</v>
      </c>
      <c r="O313" s="25">
        <f t="shared" si="195"/>
        <v>109.81997</v>
      </c>
      <c r="P313" s="81">
        <f t="shared" si="196"/>
        <v>-27.23254212</v>
      </c>
      <c r="Q313" s="25">
        <f t="shared" si="197"/>
        <v>5.490998498</v>
      </c>
      <c r="R313" s="81">
        <f t="shared" si="198"/>
        <v>-21.74154362</v>
      </c>
    </row>
    <row r="314">
      <c r="A314" s="12"/>
      <c r="B314" s="80" t="s">
        <v>121</v>
      </c>
      <c r="C314" s="87">
        <v>30.0</v>
      </c>
      <c r="D314" s="86">
        <v>0.31388750000000004</v>
      </c>
      <c r="E314" s="88">
        <v>0.1254860808</v>
      </c>
      <c r="F314" s="89">
        <f t="shared" si="191"/>
        <v>7415.619647</v>
      </c>
      <c r="G314" s="81">
        <v>4964.0</v>
      </c>
      <c r="H314" s="81">
        <f t="shared" si="192"/>
        <v>-2451.619647</v>
      </c>
      <c r="I314" s="25">
        <f t="shared" si="193"/>
        <v>1727.607491</v>
      </c>
      <c r="J314" s="64">
        <f>C314*'Rate Codes'!$D$7</f>
        <v>51.76455</v>
      </c>
      <c r="K314" s="25">
        <f>I314*'Rate Codes'!$D$8</f>
        <v>22.37769983</v>
      </c>
      <c r="L314" s="81">
        <f t="shared" si="194"/>
        <v>74.14224983</v>
      </c>
      <c r="M314" s="66">
        <f>I314*'Rate Codes'!$D$8</f>
        <v>22.37769983</v>
      </c>
      <c r="N314" s="67">
        <f>(H314)*'Billing Rate'!$B$1</f>
        <v>-166.710136</v>
      </c>
      <c r="O314" s="25">
        <f t="shared" si="195"/>
        <v>96.51994966</v>
      </c>
      <c r="P314" s="81">
        <f t="shared" si="196"/>
        <v>-70.1901863</v>
      </c>
      <c r="Q314" s="25">
        <f t="shared" si="197"/>
        <v>4.825997483</v>
      </c>
      <c r="R314" s="81">
        <f t="shared" si="198"/>
        <v>-65.36418882</v>
      </c>
    </row>
    <row r="315">
      <c r="A315" s="12"/>
      <c r="B315" s="80" t="s">
        <v>122</v>
      </c>
      <c r="C315" s="87">
        <v>31.0</v>
      </c>
      <c r="D315" s="86">
        <v>0.33125</v>
      </c>
      <c r="E315" s="88">
        <v>0.1449493112</v>
      </c>
      <c r="F315" s="89">
        <f t="shared" si="191"/>
        <v>8565.802303</v>
      </c>
      <c r="G315" s="81">
        <v>6634.0</v>
      </c>
      <c r="H315" s="81">
        <f t="shared" si="192"/>
        <v>-1931.802303</v>
      </c>
      <c r="I315" s="25">
        <f t="shared" si="193"/>
        <v>2436.523692</v>
      </c>
      <c r="J315" s="64">
        <f>C315*'Rate Codes'!$D$7</f>
        <v>53.490035</v>
      </c>
      <c r="K315" s="25">
        <f>I315*'Rate Codes'!$D$8</f>
        <v>31.56029139</v>
      </c>
      <c r="L315" s="81">
        <f t="shared" si="194"/>
        <v>85.05032639</v>
      </c>
      <c r="M315" s="66">
        <f>I315*'Rate Codes'!$D$8</f>
        <v>31.56029139</v>
      </c>
      <c r="N315" s="67">
        <f>(H315)*'Billing Rate'!$B$1</f>
        <v>-131.3625566</v>
      </c>
      <c r="O315" s="25">
        <f t="shared" si="195"/>
        <v>116.6106178</v>
      </c>
      <c r="P315" s="81">
        <f t="shared" si="196"/>
        <v>-14.75193882</v>
      </c>
      <c r="Q315" s="25">
        <f t="shared" si="197"/>
        <v>5.830530889</v>
      </c>
      <c r="R315" s="81">
        <f t="shared" si="198"/>
        <v>-8.921407928</v>
      </c>
    </row>
    <row r="316">
      <c r="A316" s="12"/>
      <c r="B316" s="80" t="s">
        <v>123</v>
      </c>
      <c r="C316" s="87">
        <v>31.0</v>
      </c>
      <c r="D316" s="86">
        <v>0.3951375</v>
      </c>
      <c r="E316" s="88">
        <v>0.1246952409</v>
      </c>
      <c r="F316" s="89">
        <f t="shared" si="191"/>
        <v>7368.884838</v>
      </c>
      <c r="G316" s="81">
        <v>5909.0</v>
      </c>
      <c r="H316" s="81">
        <f t="shared" si="192"/>
        <v>-1459.884838</v>
      </c>
      <c r="I316" s="25">
        <f t="shared" si="193"/>
        <v>2588.818017</v>
      </c>
      <c r="J316" s="64">
        <f>C316*'Rate Codes'!$D$7</f>
        <v>53.490035</v>
      </c>
      <c r="K316" s="25">
        <f>I316*'Rate Codes'!$D$8</f>
        <v>33.53295977</v>
      </c>
      <c r="L316" s="81">
        <f t="shared" si="194"/>
        <v>87.02299477</v>
      </c>
      <c r="M316" s="66">
        <f>I316*'Rate Codes'!$D$8</f>
        <v>33.53295977</v>
      </c>
      <c r="N316" s="67">
        <f>(H316)*'Billing Rate'!$B$1</f>
        <v>-99.27216902</v>
      </c>
      <c r="O316" s="25">
        <f t="shared" si="195"/>
        <v>120.5559545</v>
      </c>
      <c r="P316" s="81">
        <f t="shared" si="196"/>
        <v>21.28378552</v>
      </c>
      <c r="Q316" s="25">
        <f t="shared" si="197"/>
        <v>6.027797727</v>
      </c>
      <c r="R316" s="81">
        <f t="shared" si="198"/>
        <v>27.31158325</v>
      </c>
    </row>
    <row r="317">
      <c r="A317" s="12"/>
      <c r="B317" s="80" t="s">
        <v>124</v>
      </c>
      <c r="C317" s="87">
        <v>30.0</v>
      </c>
      <c r="D317" s="86">
        <v>0.4756958333333334</v>
      </c>
      <c r="E317" s="88">
        <v>0.09825803101</v>
      </c>
      <c r="F317" s="89">
        <f t="shared" si="191"/>
        <v>5806.573769</v>
      </c>
      <c r="G317" s="81">
        <v>5270.0</v>
      </c>
      <c r="H317" s="81">
        <f t="shared" si="192"/>
        <v>-536.5737693</v>
      </c>
      <c r="I317" s="25">
        <f t="shared" si="193"/>
        <v>2779.580442</v>
      </c>
      <c r="J317" s="64">
        <f>C317*'Rate Codes'!$D$7</f>
        <v>51.76455</v>
      </c>
      <c r="K317" s="25">
        <f>I317*'Rate Codes'!$D$8</f>
        <v>36.00390547</v>
      </c>
      <c r="L317" s="81">
        <f t="shared" si="194"/>
        <v>87.76845547</v>
      </c>
      <c r="M317" s="66">
        <f>I317*'Rate Codes'!$D$8</f>
        <v>36.00390547</v>
      </c>
      <c r="N317" s="67">
        <f>(H317)*'Billing Rate'!$B$1</f>
        <v>-36.48701631</v>
      </c>
      <c r="O317" s="25">
        <f t="shared" si="195"/>
        <v>123.7723609</v>
      </c>
      <c r="P317" s="81">
        <f t="shared" si="196"/>
        <v>87.28534463</v>
      </c>
      <c r="Q317" s="25">
        <f t="shared" si="197"/>
        <v>6.188618047</v>
      </c>
      <c r="R317" s="81">
        <f t="shared" si="198"/>
        <v>93.47396267</v>
      </c>
    </row>
    <row r="318">
      <c r="A318" s="12"/>
      <c r="B318" s="80" t="s">
        <v>125</v>
      </c>
      <c r="C318" s="87">
        <v>31.0</v>
      </c>
      <c r="D318" s="86">
        <v>0.5590291666666667</v>
      </c>
      <c r="E318" s="88">
        <v>0.06840443866</v>
      </c>
      <c r="F318" s="89">
        <f t="shared" si="191"/>
        <v>4042.371042</v>
      </c>
      <c r="G318" s="81">
        <v>5946.0</v>
      </c>
      <c r="H318" s="81">
        <f t="shared" si="192"/>
        <v>1903.628958</v>
      </c>
      <c r="I318" s="25">
        <f t="shared" si="193"/>
        <v>3685.519019</v>
      </c>
      <c r="J318" s="64">
        <f>C318*'Rate Codes'!$D$7</f>
        <v>53.490035</v>
      </c>
      <c r="K318" s="25">
        <f>I318*'Rate Codes'!$D$8</f>
        <v>47.73852786</v>
      </c>
      <c r="L318" s="81">
        <f t="shared" si="194"/>
        <v>101.2285629</v>
      </c>
      <c r="M318" s="66">
        <f>I318*'Rate Codes'!$D$8</f>
        <v>47.73852786</v>
      </c>
      <c r="N318" s="67">
        <f>(H318)*'Billing Rate'!$B$1</f>
        <v>129.4467691</v>
      </c>
      <c r="O318" s="25">
        <f t="shared" si="195"/>
        <v>148.9670907</v>
      </c>
      <c r="P318" s="81">
        <f t="shared" si="196"/>
        <v>278.4138598</v>
      </c>
      <c r="Q318" s="25">
        <f t="shared" si="197"/>
        <v>13.92069299</v>
      </c>
      <c r="R318" s="81">
        <f t="shared" si="198"/>
        <v>292.3345528</v>
      </c>
    </row>
    <row r="319">
      <c r="A319" s="12"/>
      <c r="B319" s="80" t="s">
        <v>126</v>
      </c>
      <c r="C319" s="87">
        <v>30.0</v>
      </c>
      <c r="D319" s="86">
        <v>0.63125</v>
      </c>
      <c r="E319" s="88">
        <v>0.0271408052</v>
      </c>
      <c r="F319" s="89">
        <f t="shared" si="191"/>
        <v>1603.890144</v>
      </c>
      <c r="G319" s="81">
        <v>5587.0</v>
      </c>
      <c r="H319" s="81">
        <f t="shared" si="192"/>
        <v>3983.109856</v>
      </c>
      <c r="I319" s="25">
        <f t="shared" si="193"/>
        <v>3910.383459</v>
      </c>
      <c r="J319" s="64">
        <f>C319*'Rate Codes'!$D$7</f>
        <v>51.76455</v>
      </c>
      <c r="K319" s="25">
        <f>I319*'Rate Codes'!$D$8</f>
        <v>50.65119694</v>
      </c>
      <c r="L319" s="81">
        <f t="shared" si="194"/>
        <v>102.4157469</v>
      </c>
      <c r="M319" s="66">
        <f>I319*'Rate Codes'!$D$8</f>
        <v>50.65119694</v>
      </c>
      <c r="N319" s="67">
        <f>(H319)*'Billing Rate'!$B$1</f>
        <v>270.8514702</v>
      </c>
      <c r="O319" s="25">
        <f t="shared" si="195"/>
        <v>153.0669439</v>
      </c>
      <c r="P319" s="81">
        <f t="shared" si="196"/>
        <v>423.9184141</v>
      </c>
      <c r="Q319" s="25">
        <f t="shared" si="197"/>
        <v>21.1959207</v>
      </c>
      <c r="R319" s="81">
        <f t="shared" si="198"/>
        <v>445.1143348</v>
      </c>
    </row>
    <row r="320">
      <c r="A320" s="12"/>
      <c r="B320" s="80" t="s">
        <v>127</v>
      </c>
      <c r="C320" s="87">
        <v>31.0</v>
      </c>
      <c r="D320" s="86">
        <v>0.6680541666666667</v>
      </c>
      <c r="E320" s="88">
        <v>0.01559005293</v>
      </c>
      <c r="F320" s="89">
        <f t="shared" si="191"/>
        <v>921.2966256</v>
      </c>
      <c r="G320" s="81">
        <v>5490.0</v>
      </c>
      <c r="H320" s="81">
        <f t="shared" si="192"/>
        <v>4568.703374</v>
      </c>
      <c r="I320" s="25">
        <f t="shared" si="193"/>
        <v>4066.523685</v>
      </c>
      <c r="J320" s="64">
        <f>C320*'Rate Codes'!$D$7</f>
        <v>53.490035</v>
      </c>
      <c r="K320" s="25">
        <f>I320*'Rate Codes'!$D$8</f>
        <v>52.67368129</v>
      </c>
      <c r="L320" s="81">
        <f t="shared" si="194"/>
        <v>106.1637163</v>
      </c>
      <c r="M320" s="66">
        <f>I320*'Rate Codes'!$D$8</f>
        <v>52.67368129</v>
      </c>
      <c r="N320" s="67">
        <f>(H320)*'Billing Rate'!$B$1</f>
        <v>310.6718295</v>
      </c>
      <c r="O320" s="25">
        <f t="shared" si="195"/>
        <v>158.8373976</v>
      </c>
      <c r="P320" s="81">
        <f t="shared" si="196"/>
        <v>469.509227</v>
      </c>
      <c r="Q320" s="25">
        <f t="shared" si="197"/>
        <v>23.47546135</v>
      </c>
      <c r="R320" s="81">
        <f t="shared" si="198"/>
        <v>492.9846884</v>
      </c>
    </row>
    <row r="321">
      <c r="A321" s="12"/>
      <c r="B321" s="77" t="s">
        <v>109</v>
      </c>
      <c r="C321" s="82"/>
      <c r="D321" s="83"/>
      <c r="E321" s="83">
        <f t="shared" ref="E321:N321" si="199">SUM(E309:E320)</f>
        <v>1</v>
      </c>
      <c r="F321" s="84">
        <f t="shared" si="199"/>
        <v>59095.157</v>
      </c>
      <c r="G321" s="85">
        <f t="shared" si="199"/>
        <v>66307</v>
      </c>
      <c r="H321" s="85">
        <f t="shared" si="199"/>
        <v>7211.842997</v>
      </c>
      <c r="I321" s="48">
        <f t="shared" si="199"/>
        <v>36064.04238</v>
      </c>
      <c r="J321" s="85">
        <f t="shared" si="199"/>
        <v>629.802025</v>
      </c>
      <c r="K321" s="85">
        <f t="shared" si="199"/>
        <v>467.137541</v>
      </c>
      <c r="L321" s="85">
        <f t="shared" si="199"/>
        <v>1096.939566</v>
      </c>
      <c r="M321" s="85">
        <f t="shared" si="199"/>
        <v>467.137541</v>
      </c>
      <c r="N321" s="85">
        <f t="shared" si="199"/>
        <v>490.4053238</v>
      </c>
      <c r="O321" s="48">
        <f t="shared" si="195"/>
        <v>1564.077107</v>
      </c>
      <c r="P321" s="85">
        <f t="shared" ref="P321:R321" si="200">SUM(P309:P320)</f>
        <v>2054.482431</v>
      </c>
      <c r="Q321" s="85">
        <f t="shared" si="200"/>
        <v>136.397403</v>
      </c>
      <c r="R321" s="85">
        <f t="shared" si="200"/>
        <v>2190.879834</v>
      </c>
    </row>
    <row r="323">
      <c r="A323" s="76">
        <v>20.0</v>
      </c>
      <c r="B323" s="12" t="s">
        <v>128</v>
      </c>
      <c r="C323" s="12"/>
      <c r="D323" s="15"/>
      <c r="E323" s="15">
        <f>$E$1* POW((1 -$H$1),A323)</f>
        <v>58799.68122</v>
      </c>
      <c r="F323" s="1" t="s">
        <v>132</v>
      </c>
      <c r="G323" s="8">
        <f>E323/G337</f>
        <v>0.8867793931</v>
      </c>
      <c r="H323" s="1" t="s">
        <v>133</v>
      </c>
      <c r="I323" s="6">
        <f>1-G323</f>
        <v>0.1132206069</v>
      </c>
      <c r="J323" s="12" t="s">
        <v>74</v>
      </c>
      <c r="M323" s="12" t="s">
        <v>78</v>
      </c>
      <c r="N323" s="12"/>
      <c r="O323" s="12"/>
      <c r="P323" s="12"/>
      <c r="Q323" s="12"/>
      <c r="R323" s="12"/>
    </row>
    <row r="324">
      <c r="A324" s="12"/>
      <c r="B324" s="77" t="s">
        <v>83</v>
      </c>
      <c r="C324" s="78" t="s">
        <v>88</v>
      </c>
      <c r="D324" s="44" t="s">
        <v>87</v>
      </c>
      <c r="E324" s="77" t="s">
        <v>140</v>
      </c>
      <c r="F324" s="77" t="s">
        <v>135</v>
      </c>
      <c r="G324" s="78" t="s">
        <v>89</v>
      </c>
      <c r="H324" s="78" t="s">
        <v>138</v>
      </c>
      <c r="I324" s="20" t="s">
        <v>139</v>
      </c>
      <c r="J324" s="78" t="s">
        <v>76</v>
      </c>
      <c r="K324" s="78" t="s">
        <v>82</v>
      </c>
      <c r="L324" s="78" t="s">
        <v>109</v>
      </c>
      <c r="M324" s="78" t="s">
        <v>80</v>
      </c>
      <c r="N324" s="78" t="s">
        <v>67</v>
      </c>
      <c r="O324" s="45" t="s">
        <v>114</v>
      </c>
      <c r="P324" s="79" t="s">
        <v>115</v>
      </c>
      <c r="Q324" s="79" t="s">
        <v>60</v>
      </c>
      <c r="R324" s="79" t="s">
        <v>109</v>
      </c>
    </row>
    <row r="325">
      <c r="A325" s="12"/>
      <c r="B325" s="80" t="s">
        <v>117</v>
      </c>
      <c r="C325" s="87">
        <v>31.0</v>
      </c>
      <c r="D325" s="86">
        <v>0.6479166666666667</v>
      </c>
      <c r="E325" s="88">
        <v>0.02731296772</v>
      </c>
      <c r="F325" s="89">
        <f t="shared" ref="F325:F336" si="201">$E$323*E325</f>
        <v>1605.993795</v>
      </c>
      <c r="G325" s="81">
        <v>5726.0</v>
      </c>
      <c r="H325" s="81">
        <f t="shared" ref="H325:H336" si="202">G325-F325</f>
        <v>4120.006205</v>
      </c>
      <c r="I325" s="25">
        <f t="shared" ref="I325:I336" si="203">D325*G325*(1+$I$323)</f>
        <v>4130.015983</v>
      </c>
      <c r="J325" s="64">
        <f>C325*'Rate Codes'!$D$7</f>
        <v>53.490035</v>
      </c>
      <c r="K325" s="25">
        <f>I325*'Rate Codes'!$D$8</f>
        <v>53.49609702</v>
      </c>
      <c r="L325" s="81">
        <f t="shared" ref="L325:L336" si="204">SUM(J325:K325)</f>
        <v>106.986132</v>
      </c>
      <c r="M325" s="66">
        <f>I325*'Rate Codes'!$D$8</f>
        <v>53.49609702</v>
      </c>
      <c r="N325" s="67">
        <f>(H325)*'Billing Rate'!$B$1</f>
        <v>280.1604219</v>
      </c>
      <c r="O325" s="25">
        <f t="shared" ref="O325:O337" si="205">L325+M325</f>
        <v>160.482229</v>
      </c>
      <c r="P325" s="81">
        <f t="shared" ref="P325:P336" si="206">N325+L325+M325</f>
        <v>440.642651</v>
      </c>
      <c r="Q325" s="25">
        <f t="shared" ref="Q325:Q336" si="207">(IF(N325&gt;0,N325,0)+O325)*0.05</f>
        <v>22.03213255</v>
      </c>
      <c r="R325" s="81">
        <f t="shared" ref="R325:R336" si="208">P325+Q325</f>
        <v>462.6747835</v>
      </c>
    </row>
    <row r="326">
      <c r="A326" s="12"/>
      <c r="B326" s="80" t="s">
        <v>118</v>
      </c>
      <c r="C326" s="87">
        <v>28.0</v>
      </c>
      <c r="D326" s="86">
        <v>0.5868041666666667</v>
      </c>
      <c r="E326" s="88">
        <v>0.04620731865</v>
      </c>
      <c r="F326" s="89">
        <f t="shared" si="201"/>
        <v>2716.975607</v>
      </c>
      <c r="G326" s="81">
        <v>5279.0</v>
      </c>
      <c r="H326" s="81">
        <f t="shared" si="202"/>
        <v>2562.024393</v>
      </c>
      <c r="I326" s="25">
        <f t="shared" si="203"/>
        <v>3448.467108</v>
      </c>
      <c r="J326" s="64">
        <f>C326*'Rate Codes'!$D$7</f>
        <v>48.31358</v>
      </c>
      <c r="K326" s="25">
        <f>I326*'Rate Codes'!$D$8</f>
        <v>44.66799445</v>
      </c>
      <c r="L326" s="81">
        <f t="shared" si="204"/>
        <v>92.98157445</v>
      </c>
      <c r="M326" s="66">
        <f>I326*'Rate Codes'!$D$8</f>
        <v>44.66799445</v>
      </c>
      <c r="N326" s="67">
        <f>(H326)*'Billing Rate'!$B$1</f>
        <v>174.2176588</v>
      </c>
      <c r="O326" s="25">
        <f t="shared" si="205"/>
        <v>137.6495689</v>
      </c>
      <c r="P326" s="81">
        <f t="shared" si="206"/>
        <v>311.8672276</v>
      </c>
      <c r="Q326" s="25">
        <f t="shared" si="207"/>
        <v>15.59336138</v>
      </c>
      <c r="R326" s="81">
        <f t="shared" si="208"/>
        <v>327.460589</v>
      </c>
    </row>
    <row r="327">
      <c r="A327" s="12"/>
      <c r="B327" s="80" t="s">
        <v>119</v>
      </c>
      <c r="C327" s="87">
        <v>31.0</v>
      </c>
      <c r="D327" s="86">
        <v>0.5083333333333333</v>
      </c>
      <c r="E327" s="88">
        <v>0.08500831624</v>
      </c>
      <c r="F327" s="89">
        <f t="shared" si="201"/>
        <v>4998.461896</v>
      </c>
      <c r="G327" s="81">
        <v>4991.0</v>
      </c>
      <c r="H327" s="81">
        <f t="shared" si="202"/>
        <v>-7.461895778</v>
      </c>
      <c r="I327" s="25">
        <f t="shared" si="203"/>
        <v>2824.342725</v>
      </c>
      <c r="J327" s="64">
        <f>C327*'Rate Codes'!$D$7</f>
        <v>53.490035</v>
      </c>
      <c r="K327" s="25">
        <f>I327*'Rate Codes'!$D$8</f>
        <v>36.58371132</v>
      </c>
      <c r="L327" s="81">
        <f t="shared" si="204"/>
        <v>90.07374632</v>
      </c>
      <c r="M327" s="66">
        <f>I327*'Rate Codes'!$D$8</f>
        <v>36.58371132</v>
      </c>
      <c r="N327" s="67">
        <f>(H327)*'Billing Rate'!$B$1</f>
        <v>-0.5074089129</v>
      </c>
      <c r="O327" s="25">
        <f t="shared" si="205"/>
        <v>126.6574576</v>
      </c>
      <c r="P327" s="81">
        <f t="shared" si="206"/>
        <v>126.1500487</v>
      </c>
      <c r="Q327" s="25">
        <f t="shared" si="207"/>
        <v>6.332872882</v>
      </c>
      <c r="R327" s="81">
        <f t="shared" si="208"/>
        <v>132.4829216</v>
      </c>
    </row>
    <row r="328">
      <c r="A328" s="12"/>
      <c r="B328" s="80" t="s">
        <v>120</v>
      </c>
      <c r="C328" s="87">
        <v>30.0</v>
      </c>
      <c r="D328" s="86">
        <v>0.425</v>
      </c>
      <c r="E328" s="88">
        <v>0.108773175</v>
      </c>
      <c r="F328" s="89">
        <f t="shared" si="201"/>
        <v>6395.828015</v>
      </c>
      <c r="G328" s="81">
        <v>4952.0</v>
      </c>
      <c r="H328" s="81">
        <f t="shared" si="202"/>
        <v>-1443.828015</v>
      </c>
      <c r="I328" s="25">
        <f t="shared" si="203"/>
        <v>2342.884089</v>
      </c>
      <c r="J328" s="64">
        <f>C328*'Rate Codes'!$D$7</f>
        <v>51.76455</v>
      </c>
      <c r="K328" s="25">
        <f>I328*'Rate Codes'!$D$8</f>
        <v>30.34737761</v>
      </c>
      <c r="L328" s="81">
        <f t="shared" si="204"/>
        <v>82.11192761</v>
      </c>
      <c r="M328" s="66">
        <f>I328*'Rate Codes'!$D$8</f>
        <v>30.34737761</v>
      </c>
      <c r="N328" s="67">
        <f>(H328)*'Billing Rate'!$B$1</f>
        <v>-98.18030502</v>
      </c>
      <c r="O328" s="25">
        <f t="shared" si="205"/>
        <v>112.4593052</v>
      </c>
      <c r="P328" s="81">
        <f t="shared" si="206"/>
        <v>14.27900019</v>
      </c>
      <c r="Q328" s="25">
        <f t="shared" si="207"/>
        <v>5.622965261</v>
      </c>
      <c r="R328" s="81">
        <f t="shared" si="208"/>
        <v>19.90196545</v>
      </c>
    </row>
    <row r="329">
      <c r="A329" s="12"/>
      <c r="B329" s="80" t="s">
        <v>98</v>
      </c>
      <c r="C329" s="87">
        <v>31.0</v>
      </c>
      <c r="D329" s="86">
        <v>0.35277916666666664</v>
      </c>
      <c r="E329" s="88">
        <v>0.1281742617</v>
      </c>
      <c r="F329" s="89">
        <f t="shared" si="201"/>
        <v>7536.605728</v>
      </c>
      <c r="G329" s="81">
        <v>5559.0</v>
      </c>
      <c r="H329" s="81">
        <f t="shared" si="202"/>
        <v>-1977.605728</v>
      </c>
      <c r="I329" s="25">
        <f t="shared" si="203"/>
        <v>2183.13625</v>
      </c>
      <c r="J329" s="64">
        <f>C329*'Rate Codes'!$D$7</f>
        <v>53.490035</v>
      </c>
      <c r="K329" s="25">
        <f>I329*'Rate Codes'!$D$8</f>
        <v>28.27816385</v>
      </c>
      <c r="L329" s="81">
        <f t="shared" si="204"/>
        <v>81.76819885</v>
      </c>
      <c r="M329" s="66">
        <f>I329*'Rate Codes'!$D$8</f>
        <v>28.27816385</v>
      </c>
      <c r="N329" s="67">
        <f>(H329)*'Billing Rate'!$B$1</f>
        <v>-134.4771895</v>
      </c>
      <c r="O329" s="25">
        <f t="shared" si="205"/>
        <v>110.0463627</v>
      </c>
      <c r="P329" s="81">
        <f t="shared" si="206"/>
        <v>-24.43082682</v>
      </c>
      <c r="Q329" s="25">
        <f t="shared" si="207"/>
        <v>5.502318135</v>
      </c>
      <c r="R329" s="81">
        <f t="shared" si="208"/>
        <v>-18.92850869</v>
      </c>
    </row>
    <row r="330">
      <c r="A330" s="12"/>
      <c r="B330" s="80" t="s">
        <v>121</v>
      </c>
      <c r="C330" s="87">
        <v>30.0</v>
      </c>
      <c r="D330" s="86">
        <v>0.31388750000000004</v>
      </c>
      <c r="E330" s="88">
        <v>0.1254860808</v>
      </c>
      <c r="F330" s="89">
        <f t="shared" si="201"/>
        <v>7378.541548</v>
      </c>
      <c r="G330" s="81">
        <v>4964.0</v>
      </c>
      <c r="H330" s="81">
        <f t="shared" si="202"/>
        <v>-2414.541548</v>
      </c>
      <c r="I330" s="25">
        <f t="shared" si="203"/>
        <v>1734.550829</v>
      </c>
      <c r="J330" s="64">
        <f>C330*'Rate Codes'!$D$7</f>
        <v>51.76455</v>
      </c>
      <c r="K330" s="25">
        <f>I330*'Rate Codes'!$D$8</f>
        <v>22.46763689</v>
      </c>
      <c r="L330" s="81">
        <f t="shared" si="204"/>
        <v>74.23218689</v>
      </c>
      <c r="M330" s="66">
        <f>I330*'Rate Codes'!$D$8</f>
        <v>22.46763689</v>
      </c>
      <c r="N330" s="67">
        <f>(H330)*'Billing Rate'!$B$1</f>
        <v>-164.1888253</v>
      </c>
      <c r="O330" s="25">
        <f t="shared" si="205"/>
        <v>96.69982378</v>
      </c>
      <c r="P330" s="81">
        <f t="shared" si="206"/>
        <v>-67.48900151</v>
      </c>
      <c r="Q330" s="25">
        <f t="shared" si="207"/>
        <v>4.834991189</v>
      </c>
      <c r="R330" s="81">
        <f t="shared" si="208"/>
        <v>-62.65401032</v>
      </c>
    </row>
    <row r="331">
      <c r="A331" s="12"/>
      <c r="B331" s="80" t="s">
        <v>122</v>
      </c>
      <c r="C331" s="87">
        <v>31.0</v>
      </c>
      <c r="D331" s="86">
        <v>0.33125</v>
      </c>
      <c r="E331" s="88">
        <v>0.1449493112</v>
      </c>
      <c r="F331" s="89">
        <f t="shared" si="201"/>
        <v>8522.973291</v>
      </c>
      <c r="G331" s="81">
        <v>6634.0</v>
      </c>
      <c r="H331" s="81">
        <f t="shared" si="202"/>
        <v>-1888.973291</v>
      </c>
      <c r="I331" s="25">
        <f t="shared" si="203"/>
        <v>2446.316199</v>
      </c>
      <c r="J331" s="64">
        <f>C331*'Rate Codes'!$D$7</f>
        <v>53.490035</v>
      </c>
      <c r="K331" s="25">
        <f>I331*'Rate Codes'!$D$8</f>
        <v>31.68713372</v>
      </c>
      <c r="L331" s="81">
        <f t="shared" si="204"/>
        <v>85.17716872</v>
      </c>
      <c r="M331" s="66">
        <f>I331*'Rate Codes'!$D$8</f>
        <v>31.68713372</v>
      </c>
      <c r="N331" s="67">
        <f>(H331)*'Billing Rate'!$B$1</f>
        <v>-128.4501838</v>
      </c>
      <c r="O331" s="25">
        <f t="shared" si="205"/>
        <v>116.8643024</v>
      </c>
      <c r="P331" s="81">
        <f t="shared" si="206"/>
        <v>-11.58588136</v>
      </c>
      <c r="Q331" s="25">
        <f t="shared" si="207"/>
        <v>5.843215122</v>
      </c>
      <c r="R331" s="81">
        <f t="shared" si="208"/>
        <v>-5.742666237</v>
      </c>
    </row>
    <row r="332">
      <c r="A332" s="12"/>
      <c r="B332" s="80" t="s">
        <v>123</v>
      </c>
      <c r="C332" s="87">
        <v>31.0</v>
      </c>
      <c r="D332" s="86">
        <v>0.3951375</v>
      </c>
      <c r="E332" s="88">
        <v>0.1246952409</v>
      </c>
      <c r="F332" s="89">
        <f t="shared" si="201"/>
        <v>7332.040414</v>
      </c>
      <c r="G332" s="81">
        <v>5909.0</v>
      </c>
      <c r="H332" s="81">
        <f t="shared" si="202"/>
        <v>-1423.040414</v>
      </c>
      <c r="I332" s="25">
        <f t="shared" si="203"/>
        <v>2599.222601</v>
      </c>
      <c r="J332" s="64">
        <f>C332*'Rate Codes'!$D$7</f>
        <v>53.490035</v>
      </c>
      <c r="K332" s="25">
        <f>I332*'Rate Codes'!$D$8</f>
        <v>33.66773036</v>
      </c>
      <c r="L332" s="81">
        <f t="shared" si="204"/>
        <v>87.15776536</v>
      </c>
      <c r="M332" s="66">
        <f>I332*'Rate Codes'!$D$8</f>
        <v>33.66773036</v>
      </c>
      <c r="N332" s="67">
        <f>(H332)*'Billing Rate'!$B$1</f>
        <v>-96.76674817</v>
      </c>
      <c r="O332" s="25">
        <f t="shared" si="205"/>
        <v>120.8254957</v>
      </c>
      <c r="P332" s="81">
        <f t="shared" si="206"/>
        <v>24.05874754</v>
      </c>
      <c r="Q332" s="25">
        <f t="shared" si="207"/>
        <v>6.041274786</v>
      </c>
      <c r="R332" s="81">
        <f t="shared" si="208"/>
        <v>30.10002233</v>
      </c>
    </row>
    <row r="333">
      <c r="A333" s="12"/>
      <c r="B333" s="80" t="s">
        <v>124</v>
      </c>
      <c r="C333" s="87">
        <v>30.0</v>
      </c>
      <c r="D333" s="86">
        <v>0.4756958333333334</v>
      </c>
      <c r="E333" s="88">
        <v>0.09825803101</v>
      </c>
      <c r="F333" s="89">
        <f t="shared" si="201"/>
        <v>5777.5409</v>
      </c>
      <c r="G333" s="81">
        <v>5270.0</v>
      </c>
      <c r="H333" s="81">
        <f t="shared" si="202"/>
        <v>-507.5409005</v>
      </c>
      <c r="I333" s="25">
        <f t="shared" si="203"/>
        <v>2790.751711</v>
      </c>
      <c r="J333" s="64">
        <f>C333*'Rate Codes'!$D$7</f>
        <v>51.76455</v>
      </c>
      <c r="K333" s="25">
        <f>I333*'Rate Codes'!$D$8</f>
        <v>36.14860691</v>
      </c>
      <c r="L333" s="81">
        <f t="shared" si="204"/>
        <v>87.91315691</v>
      </c>
      <c r="M333" s="66">
        <f>I333*'Rate Codes'!$D$8</f>
        <v>36.14860691</v>
      </c>
      <c r="N333" s="67">
        <f>(H333)*'Billing Rate'!$B$1</f>
        <v>-34.51278123</v>
      </c>
      <c r="O333" s="25">
        <f t="shared" si="205"/>
        <v>124.0617638</v>
      </c>
      <c r="P333" s="81">
        <f t="shared" si="206"/>
        <v>89.54898258</v>
      </c>
      <c r="Q333" s="25">
        <f t="shared" si="207"/>
        <v>6.203088191</v>
      </c>
      <c r="R333" s="81">
        <f t="shared" si="208"/>
        <v>95.75207077</v>
      </c>
    </row>
    <row r="334">
      <c r="A334" s="12"/>
      <c r="B334" s="80" t="s">
        <v>125</v>
      </c>
      <c r="C334" s="87">
        <v>31.0</v>
      </c>
      <c r="D334" s="86">
        <v>0.5590291666666667</v>
      </c>
      <c r="E334" s="88">
        <v>0.06840443866</v>
      </c>
      <c r="F334" s="89">
        <f t="shared" si="201"/>
        <v>4022.159187</v>
      </c>
      <c r="G334" s="81">
        <v>5946.0</v>
      </c>
      <c r="H334" s="81">
        <f t="shared" si="202"/>
        <v>1923.840813</v>
      </c>
      <c r="I334" s="25">
        <f t="shared" si="203"/>
        <v>3700.331299</v>
      </c>
      <c r="J334" s="64">
        <f>C334*'Rate Codes'!$D$7</f>
        <v>53.490035</v>
      </c>
      <c r="K334" s="25">
        <f>I334*'Rate Codes'!$D$8</f>
        <v>47.93039131</v>
      </c>
      <c r="L334" s="81">
        <f t="shared" si="204"/>
        <v>101.4204263</v>
      </c>
      <c r="M334" s="66">
        <f>I334*'Rate Codes'!$D$8</f>
        <v>47.93039131</v>
      </c>
      <c r="N334" s="67">
        <f>(H334)*'Billing Rate'!$B$1</f>
        <v>130.8211753</v>
      </c>
      <c r="O334" s="25">
        <f t="shared" si="205"/>
        <v>149.3508176</v>
      </c>
      <c r="P334" s="81">
        <f t="shared" si="206"/>
        <v>280.1719929</v>
      </c>
      <c r="Q334" s="25">
        <f t="shared" si="207"/>
        <v>14.00859964</v>
      </c>
      <c r="R334" s="81">
        <f t="shared" si="208"/>
        <v>294.1805925</v>
      </c>
    </row>
    <row r="335">
      <c r="A335" s="12"/>
      <c r="B335" s="80" t="s">
        <v>126</v>
      </c>
      <c r="C335" s="87">
        <v>30.0</v>
      </c>
      <c r="D335" s="86">
        <v>0.63125</v>
      </c>
      <c r="E335" s="88">
        <v>0.0271408052</v>
      </c>
      <c r="F335" s="89">
        <f t="shared" si="201"/>
        <v>1595.870694</v>
      </c>
      <c r="G335" s="81">
        <v>5587.0</v>
      </c>
      <c r="H335" s="81">
        <f t="shared" si="202"/>
        <v>3991.129306</v>
      </c>
      <c r="I335" s="25">
        <f t="shared" si="203"/>
        <v>3926.099479</v>
      </c>
      <c r="J335" s="64">
        <f>C335*'Rate Codes'!$D$7</f>
        <v>51.76455</v>
      </c>
      <c r="K335" s="25">
        <f>I335*'Rate Codes'!$D$8</f>
        <v>50.85476655</v>
      </c>
      <c r="L335" s="81">
        <f t="shared" si="204"/>
        <v>102.6193165</v>
      </c>
      <c r="M335" s="66">
        <f>I335*'Rate Codes'!$D$8</f>
        <v>50.85476655</v>
      </c>
      <c r="N335" s="67">
        <f>(H335)*'Billing Rate'!$B$1</f>
        <v>271.3967928</v>
      </c>
      <c r="O335" s="25">
        <f t="shared" si="205"/>
        <v>153.4740831</v>
      </c>
      <c r="P335" s="81">
        <f t="shared" si="206"/>
        <v>424.8708759</v>
      </c>
      <c r="Q335" s="25">
        <f t="shared" si="207"/>
        <v>21.2435438</v>
      </c>
      <c r="R335" s="81">
        <f t="shared" si="208"/>
        <v>446.1144197</v>
      </c>
    </row>
    <row r="336">
      <c r="A336" s="12"/>
      <c r="B336" s="80" t="s">
        <v>127</v>
      </c>
      <c r="C336" s="87">
        <v>31.0</v>
      </c>
      <c r="D336" s="86">
        <v>0.6680541666666667</v>
      </c>
      <c r="E336" s="88">
        <v>0.01559005293</v>
      </c>
      <c r="F336" s="89">
        <f t="shared" si="201"/>
        <v>916.6901425</v>
      </c>
      <c r="G336" s="81">
        <v>5490.0</v>
      </c>
      <c r="H336" s="81">
        <f t="shared" si="202"/>
        <v>4573.309858</v>
      </c>
      <c r="I336" s="25">
        <f t="shared" si="203"/>
        <v>4082.86724</v>
      </c>
      <c r="J336" s="64">
        <f>C336*'Rate Codes'!$D$7</f>
        <v>53.490035</v>
      </c>
      <c r="K336" s="25">
        <f>I336*'Rate Codes'!$D$8</f>
        <v>52.88537936</v>
      </c>
      <c r="L336" s="81">
        <f t="shared" si="204"/>
        <v>106.3754144</v>
      </c>
      <c r="M336" s="66">
        <f>I336*'Rate Codes'!$D$8</f>
        <v>52.88537936</v>
      </c>
      <c r="N336" s="67">
        <f>(H336)*'Billing Rate'!$B$1</f>
        <v>310.9850703</v>
      </c>
      <c r="O336" s="25">
        <f t="shared" si="205"/>
        <v>159.2607937</v>
      </c>
      <c r="P336" s="81">
        <f t="shared" si="206"/>
        <v>470.245864</v>
      </c>
      <c r="Q336" s="25">
        <f t="shared" si="207"/>
        <v>23.5122932</v>
      </c>
      <c r="R336" s="81">
        <f t="shared" si="208"/>
        <v>493.7581572</v>
      </c>
    </row>
    <row r="337">
      <c r="A337" s="12"/>
      <c r="B337" s="77" t="s">
        <v>109</v>
      </c>
      <c r="C337" s="82"/>
      <c r="D337" s="83"/>
      <c r="E337" s="83">
        <f t="shared" ref="E337:N337" si="209">SUM(E325:E336)</f>
        <v>1</v>
      </c>
      <c r="F337" s="84">
        <f t="shared" si="209"/>
        <v>58799.68122</v>
      </c>
      <c r="G337" s="85">
        <f t="shared" si="209"/>
        <v>66307</v>
      </c>
      <c r="H337" s="85">
        <f t="shared" si="209"/>
        <v>7507.318782</v>
      </c>
      <c r="I337" s="48">
        <f t="shared" si="209"/>
        <v>36208.98551</v>
      </c>
      <c r="J337" s="85">
        <f t="shared" si="209"/>
        <v>629.802025</v>
      </c>
      <c r="K337" s="85">
        <f t="shared" si="209"/>
        <v>469.0149893</v>
      </c>
      <c r="L337" s="85">
        <f t="shared" si="209"/>
        <v>1098.817014</v>
      </c>
      <c r="M337" s="85">
        <f t="shared" si="209"/>
        <v>469.0149893</v>
      </c>
      <c r="N337" s="85">
        <f t="shared" si="209"/>
        <v>510.4976771</v>
      </c>
      <c r="O337" s="48">
        <f t="shared" si="205"/>
        <v>1567.832004</v>
      </c>
      <c r="P337" s="85">
        <f t="shared" ref="P337:R337" si="210">SUM(P325:P336)</f>
        <v>2078.329681</v>
      </c>
      <c r="Q337" s="85">
        <f t="shared" si="210"/>
        <v>136.7706561</v>
      </c>
      <c r="R337" s="85">
        <f t="shared" si="210"/>
        <v>2215.100337</v>
      </c>
    </row>
    <row r="339">
      <c r="A339" s="76">
        <v>21.0</v>
      </c>
      <c r="B339" s="12" t="s">
        <v>128</v>
      </c>
      <c r="C339" s="12"/>
      <c r="D339" s="15"/>
      <c r="E339" s="15">
        <f>$E$1* POW((1 -$H$1),A339)</f>
        <v>58505.68281</v>
      </c>
      <c r="F339" s="1" t="s">
        <v>132</v>
      </c>
      <c r="G339" s="8">
        <f>E339/G353</f>
        <v>0.8823454961</v>
      </c>
      <c r="H339" s="1" t="s">
        <v>133</v>
      </c>
      <c r="I339" s="6">
        <f>1-G339</f>
        <v>0.1176545039</v>
      </c>
      <c r="J339" s="12" t="s">
        <v>74</v>
      </c>
      <c r="M339" s="12" t="s">
        <v>78</v>
      </c>
      <c r="N339" s="12"/>
      <c r="O339" s="12"/>
      <c r="P339" s="12"/>
      <c r="Q339" s="12"/>
      <c r="R339" s="12"/>
    </row>
    <row r="340">
      <c r="A340" s="12"/>
      <c r="B340" s="77" t="s">
        <v>83</v>
      </c>
      <c r="C340" s="78" t="s">
        <v>88</v>
      </c>
      <c r="D340" s="44" t="s">
        <v>87</v>
      </c>
      <c r="E340" s="77" t="s">
        <v>140</v>
      </c>
      <c r="F340" s="77" t="s">
        <v>135</v>
      </c>
      <c r="G340" s="78" t="s">
        <v>89</v>
      </c>
      <c r="H340" s="78" t="s">
        <v>138</v>
      </c>
      <c r="I340" s="20" t="s">
        <v>139</v>
      </c>
      <c r="J340" s="78" t="s">
        <v>76</v>
      </c>
      <c r="K340" s="78" t="s">
        <v>82</v>
      </c>
      <c r="L340" s="78" t="s">
        <v>109</v>
      </c>
      <c r="M340" s="78" t="s">
        <v>80</v>
      </c>
      <c r="N340" s="78" t="s">
        <v>67</v>
      </c>
      <c r="O340" s="45" t="s">
        <v>114</v>
      </c>
      <c r="P340" s="79" t="s">
        <v>115</v>
      </c>
      <c r="Q340" s="79" t="s">
        <v>60</v>
      </c>
      <c r="R340" s="79" t="s">
        <v>109</v>
      </c>
    </row>
    <row r="341">
      <c r="A341" s="12"/>
      <c r="B341" s="80" t="s">
        <v>117</v>
      </c>
      <c r="C341" s="87">
        <v>31.0</v>
      </c>
      <c r="D341" s="86">
        <v>0.6479166666666667</v>
      </c>
      <c r="E341" s="88">
        <v>0.02731296772</v>
      </c>
      <c r="F341" s="89">
        <f t="shared" ref="F341:F352" si="211">$E$339*E341</f>
        <v>1597.963826</v>
      </c>
      <c r="G341" s="81">
        <v>5726.0</v>
      </c>
      <c r="H341" s="81">
        <f t="shared" ref="H341:H352" si="212">G341-F341</f>
        <v>4128.036174</v>
      </c>
      <c r="I341" s="25">
        <f t="shared" ref="I341:I352" si="213">D341*G341*(1+$I$339)</f>
        <v>4146.465611</v>
      </c>
      <c r="J341" s="64">
        <f>C341*'Rate Codes'!$D$7</f>
        <v>53.490035</v>
      </c>
      <c r="K341" s="25">
        <f>I341*'Rate Codes'!$D$8</f>
        <v>53.70916906</v>
      </c>
      <c r="L341" s="81">
        <f t="shared" ref="L341:L352" si="214">SUM(J341:K341)</f>
        <v>107.1992041</v>
      </c>
      <c r="M341" s="66">
        <f>I341*'Rate Codes'!$D$8</f>
        <v>53.70916906</v>
      </c>
      <c r="N341" s="67">
        <f>(H341)*'Billing Rate'!$B$1</f>
        <v>280.7064598</v>
      </c>
      <c r="O341" s="25">
        <f t="shared" ref="O341:O353" si="215">L341+M341</f>
        <v>160.9083731</v>
      </c>
      <c r="P341" s="81">
        <f t="shared" ref="P341:P352" si="216">N341+L341+M341</f>
        <v>441.6148329</v>
      </c>
      <c r="Q341" s="25">
        <f t="shared" ref="Q341:Q352" si="217">(IF(N341&gt;0,N341,0)+O341)*0.05</f>
        <v>22.08074165</v>
      </c>
      <c r="R341" s="81">
        <f t="shared" ref="R341:R352" si="218">P341+Q341</f>
        <v>463.6955746</v>
      </c>
    </row>
    <row r="342">
      <c r="A342" s="12"/>
      <c r="B342" s="80" t="s">
        <v>118</v>
      </c>
      <c r="C342" s="87">
        <v>28.0</v>
      </c>
      <c r="D342" s="86">
        <v>0.5868041666666667</v>
      </c>
      <c r="E342" s="88">
        <v>0.04620731865</v>
      </c>
      <c r="F342" s="89">
        <f t="shared" si="211"/>
        <v>2703.390729</v>
      </c>
      <c r="G342" s="81">
        <v>5279.0</v>
      </c>
      <c r="H342" s="81">
        <f t="shared" si="212"/>
        <v>2575.609271</v>
      </c>
      <c r="I342" s="25">
        <f t="shared" si="213"/>
        <v>3462.202164</v>
      </c>
      <c r="J342" s="64">
        <f>C342*'Rate Codes'!$D$7</f>
        <v>48.31358</v>
      </c>
      <c r="K342" s="25">
        <f>I342*'Rate Codes'!$D$8</f>
        <v>44.84590463</v>
      </c>
      <c r="L342" s="81">
        <f t="shared" si="214"/>
        <v>93.15948463</v>
      </c>
      <c r="M342" s="66">
        <f>I342*'Rate Codes'!$D$8</f>
        <v>44.84590463</v>
      </c>
      <c r="N342" s="67">
        <f>(H342)*'Billing Rate'!$B$1</f>
        <v>175.1414305</v>
      </c>
      <c r="O342" s="25">
        <f t="shared" si="215"/>
        <v>138.0053893</v>
      </c>
      <c r="P342" s="81">
        <f t="shared" si="216"/>
        <v>313.1468197</v>
      </c>
      <c r="Q342" s="25">
        <f t="shared" si="217"/>
        <v>15.65734099</v>
      </c>
      <c r="R342" s="81">
        <f t="shared" si="218"/>
        <v>328.8041607</v>
      </c>
    </row>
    <row r="343">
      <c r="A343" s="12"/>
      <c r="B343" s="80" t="s">
        <v>119</v>
      </c>
      <c r="C343" s="87">
        <v>31.0</v>
      </c>
      <c r="D343" s="86">
        <v>0.5083333333333333</v>
      </c>
      <c r="E343" s="88">
        <v>0.08500831624</v>
      </c>
      <c r="F343" s="89">
        <f t="shared" si="211"/>
        <v>4973.469586</v>
      </c>
      <c r="G343" s="81">
        <v>4991.0</v>
      </c>
      <c r="H343" s="81">
        <f t="shared" si="212"/>
        <v>17.5304137</v>
      </c>
      <c r="I343" s="25">
        <f t="shared" si="213"/>
        <v>2835.591928</v>
      </c>
      <c r="J343" s="64">
        <f>C343*'Rate Codes'!$D$7</f>
        <v>53.490035</v>
      </c>
      <c r="K343" s="25">
        <f>I343*'Rate Codes'!$D$8</f>
        <v>36.72942224</v>
      </c>
      <c r="L343" s="81">
        <f t="shared" si="214"/>
        <v>90.21945724</v>
      </c>
      <c r="M343" s="66">
        <f>I343*'Rate Codes'!$D$8</f>
        <v>36.72942224</v>
      </c>
      <c r="N343" s="67">
        <f>(H343)*'Billing Rate'!$B$1</f>
        <v>1.192068132</v>
      </c>
      <c r="O343" s="25">
        <f t="shared" si="215"/>
        <v>126.9488795</v>
      </c>
      <c r="P343" s="81">
        <f t="shared" si="216"/>
        <v>128.1409476</v>
      </c>
      <c r="Q343" s="25">
        <f t="shared" si="217"/>
        <v>6.407047381</v>
      </c>
      <c r="R343" s="81">
        <f t="shared" si="218"/>
        <v>134.547995</v>
      </c>
    </row>
    <row r="344">
      <c r="A344" s="12"/>
      <c r="B344" s="80" t="s">
        <v>120</v>
      </c>
      <c r="C344" s="87">
        <v>30.0</v>
      </c>
      <c r="D344" s="86">
        <v>0.425</v>
      </c>
      <c r="E344" s="88">
        <v>0.108773175</v>
      </c>
      <c r="F344" s="89">
        <f t="shared" si="211"/>
        <v>6363.848875</v>
      </c>
      <c r="G344" s="81">
        <v>4952.0</v>
      </c>
      <c r="H344" s="81">
        <f t="shared" si="212"/>
        <v>-1411.848875</v>
      </c>
      <c r="I344" s="25">
        <f t="shared" si="213"/>
        <v>2352.215669</v>
      </c>
      <c r="J344" s="64">
        <f>C344*'Rate Codes'!$D$7</f>
        <v>51.76455</v>
      </c>
      <c r="K344" s="25">
        <f>I344*'Rate Codes'!$D$8</f>
        <v>30.46824956</v>
      </c>
      <c r="L344" s="81">
        <f t="shared" si="214"/>
        <v>82.23279956</v>
      </c>
      <c r="M344" s="66">
        <f>I344*'Rate Codes'!$D$8</f>
        <v>30.46824956</v>
      </c>
      <c r="N344" s="67">
        <f>(H344)*'Billing Rate'!$B$1</f>
        <v>-96.0057235</v>
      </c>
      <c r="O344" s="25">
        <f t="shared" si="215"/>
        <v>112.7010491</v>
      </c>
      <c r="P344" s="81">
        <f t="shared" si="216"/>
        <v>16.69532562</v>
      </c>
      <c r="Q344" s="25">
        <f t="shared" si="217"/>
        <v>5.635052456</v>
      </c>
      <c r="R344" s="81">
        <f t="shared" si="218"/>
        <v>22.33037807</v>
      </c>
    </row>
    <row r="345">
      <c r="A345" s="12"/>
      <c r="B345" s="80" t="s">
        <v>98</v>
      </c>
      <c r="C345" s="87">
        <v>31.0</v>
      </c>
      <c r="D345" s="86">
        <v>0.35277916666666664</v>
      </c>
      <c r="E345" s="88">
        <v>0.1281742617</v>
      </c>
      <c r="F345" s="89">
        <f t="shared" si="211"/>
        <v>7498.9227</v>
      </c>
      <c r="G345" s="81">
        <v>5559.0</v>
      </c>
      <c r="H345" s="81">
        <f t="shared" si="212"/>
        <v>-1939.9227</v>
      </c>
      <c r="I345" s="25">
        <f t="shared" si="213"/>
        <v>2191.831563</v>
      </c>
      <c r="J345" s="64">
        <f>C345*'Rate Codes'!$D$7</f>
        <v>53.490035</v>
      </c>
      <c r="K345" s="25">
        <f>I345*'Rate Codes'!$D$8</f>
        <v>28.39079424</v>
      </c>
      <c r="L345" s="81">
        <f t="shared" si="214"/>
        <v>81.88082924</v>
      </c>
      <c r="M345" s="66">
        <f>I345*'Rate Codes'!$D$8</f>
        <v>28.39079424</v>
      </c>
      <c r="N345" s="67">
        <f>(H345)*'Billing Rate'!$B$1</f>
        <v>-131.9147436</v>
      </c>
      <c r="O345" s="25">
        <f t="shared" si="215"/>
        <v>110.2716235</v>
      </c>
      <c r="P345" s="81">
        <f t="shared" si="216"/>
        <v>-21.64312011</v>
      </c>
      <c r="Q345" s="25">
        <f t="shared" si="217"/>
        <v>5.513581174</v>
      </c>
      <c r="R345" s="81">
        <f t="shared" si="218"/>
        <v>-16.12953893</v>
      </c>
    </row>
    <row r="346">
      <c r="A346" s="12"/>
      <c r="B346" s="80" t="s">
        <v>121</v>
      </c>
      <c r="C346" s="87">
        <v>30.0</v>
      </c>
      <c r="D346" s="86">
        <v>0.31388750000000004</v>
      </c>
      <c r="E346" s="88">
        <v>0.1254860808</v>
      </c>
      <c r="F346" s="89">
        <f t="shared" si="211"/>
        <v>7341.648841</v>
      </c>
      <c r="G346" s="81">
        <v>4964.0</v>
      </c>
      <c r="H346" s="81">
        <f t="shared" si="212"/>
        <v>-2377.648841</v>
      </c>
      <c r="I346" s="25">
        <f t="shared" si="213"/>
        <v>1741.45945</v>
      </c>
      <c r="J346" s="64">
        <f>C346*'Rate Codes'!$D$7</f>
        <v>51.76455</v>
      </c>
      <c r="K346" s="25">
        <f>I346*'Rate Codes'!$D$8</f>
        <v>22.55712426</v>
      </c>
      <c r="L346" s="81">
        <f t="shared" si="214"/>
        <v>74.32167426</v>
      </c>
      <c r="M346" s="66">
        <f>I346*'Rate Codes'!$D$8</f>
        <v>22.55712426</v>
      </c>
      <c r="N346" s="67">
        <f>(H346)*'Billing Rate'!$B$1</f>
        <v>-161.6801212</v>
      </c>
      <c r="O346" s="25">
        <f t="shared" si="215"/>
        <v>96.87879852</v>
      </c>
      <c r="P346" s="81">
        <f t="shared" si="216"/>
        <v>-64.80132264</v>
      </c>
      <c r="Q346" s="25">
        <f t="shared" si="217"/>
        <v>4.843939926</v>
      </c>
      <c r="R346" s="81">
        <f t="shared" si="218"/>
        <v>-59.95738271</v>
      </c>
    </row>
    <row r="347">
      <c r="A347" s="12"/>
      <c r="B347" s="80" t="s">
        <v>122</v>
      </c>
      <c r="C347" s="87">
        <v>31.0</v>
      </c>
      <c r="D347" s="86">
        <v>0.33125</v>
      </c>
      <c r="E347" s="88">
        <v>0.1449493112</v>
      </c>
      <c r="F347" s="89">
        <f t="shared" si="211"/>
        <v>8480.358425</v>
      </c>
      <c r="G347" s="81">
        <v>6634.0</v>
      </c>
      <c r="H347" s="81">
        <f t="shared" si="212"/>
        <v>-1846.358425</v>
      </c>
      <c r="I347" s="25">
        <f t="shared" si="213"/>
        <v>2456.059743</v>
      </c>
      <c r="J347" s="64">
        <f>C347*'Rate Codes'!$D$7</f>
        <v>53.490035</v>
      </c>
      <c r="K347" s="25">
        <f>I347*'Rate Codes'!$D$8</f>
        <v>31.81334185</v>
      </c>
      <c r="L347" s="81">
        <f t="shared" si="214"/>
        <v>85.30337685</v>
      </c>
      <c r="M347" s="66">
        <f>I347*'Rate Codes'!$D$8</f>
        <v>31.81334185</v>
      </c>
      <c r="N347" s="67">
        <f>(H347)*'Billing Rate'!$B$1</f>
        <v>-125.5523729</v>
      </c>
      <c r="O347" s="25">
        <f t="shared" si="215"/>
        <v>117.1167187</v>
      </c>
      <c r="P347" s="81">
        <f t="shared" si="216"/>
        <v>-8.435654189</v>
      </c>
      <c r="Q347" s="25">
        <f t="shared" si="217"/>
        <v>5.855835935</v>
      </c>
      <c r="R347" s="81">
        <f t="shared" si="218"/>
        <v>-2.579818254</v>
      </c>
    </row>
    <row r="348">
      <c r="A348" s="12"/>
      <c r="B348" s="80" t="s">
        <v>123</v>
      </c>
      <c r="C348" s="87">
        <v>31.0</v>
      </c>
      <c r="D348" s="86">
        <v>0.3951375</v>
      </c>
      <c r="E348" s="88">
        <v>0.1246952409</v>
      </c>
      <c r="F348" s="89">
        <f t="shared" si="211"/>
        <v>7295.380212</v>
      </c>
      <c r="G348" s="81">
        <v>5909.0</v>
      </c>
      <c r="H348" s="81">
        <f t="shared" si="212"/>
        <v>-1386.380212</v>
      </c>
      <c r="I348" s="25">
        <f t="shared" si="213"/>
        <v>2609.575163</v>
      </c>
      <c r="J348" s="64">
        <f>C348*'Rate Codes'!$D$7</f>
        <v>53.490035</v>
      </c>
      <c r="K348" s="25">
        <f>I348*'Rate Codes'!$D$8</f>
        <v>33.80182709</v>
      </c>
      <c r="L348" s="81">
        <f t="shared" si="214"/>
        <v>87.29186209</v>
      </c>
      <c r="M348" s="66">
        <f>I348*'Rate Codes'!$D$8</f>
        <v>33.80182709</v>
      </c>
      <c r="N348" s="67">
        <f>(H348)*'Billing Rate'!$B$1</f>
        <v>-94.27385443</v>
      </c>
      <c r="O348" s="25">
        <f t="shared" si="215"/>
        <v>121.0936892</v>
      </c>
      <c r="P348" s="81">
        <f t="shared" si="216"/>
        <v>26.81983475</v>
      </c>
      <c r="Q348" s="25">
        <f t="shared" si="217"/>
        <v>6.054684459</v>
      </c>
      <c r="R348" s="81">
        <f t="shared" si="218"/>
        <v>32.87451921</v>
      </c>
    </row>
    <row r="349">
      <c r="A349" s="12"/>
      <c r="B349" s="80" t="s">
        <v>124</v>
      </c>
      <c r="C349" s="87">
        <v>30.0</v>
      </c>
      <c r="D349" s="86">
        <v>0.4756958333333334</v>
      </c>
      <c r="E349" s="88">
        <v>0.09825803101</v>
      </c>
      <c r="F349" s="89">
        <f t="shared" si="211"/>
        <v>5748.653196</v>
      </c>
      <c r="G349" s="81">
        <v>5270.0</v>
      </c>
      <c r="H349" s="81">
        <f t="shared" si="212"/>
        <v>-478.653196</v>
      </c>
      <c r="I349" s="25">
        <f t="shared" si="213"/>
        <v>2801.867122</v>
      </c>
      <c r="J349" s="64">
        <f>C349*'Rate Codes'!$D$7</f>
        <v>51.76455</v>
      </c>
      <c r="K349" s="25">
        <f>I349*'Rate Codes'!$D$8</f>
        <v>36.29258484</v>
      </c>
      <c r="L349" s="81">
        <f t="shared" si="214"/>
        <v>88.05713484</v>
      </c>
      <c r="M349" s="66">
        <f>I349*'Rate Codes'!$D$8</f>
        <v>36.29258484</v>
      </c>
      <c r="N349" s="67">
        <f>(H349)*'Billing Rate'!$B$1</f>
        <v>-32.54841733</v>
      </c>
      <c r="O349" s="25">
        <f t="shared" si="215"/>
        <v>124.3497197</v>
      </c>
      <c r="P349" s="81">
        <f t="shared" si="216"/>
        <v>91.80130235</v>
      </c>
      <c r="Q349" s="25">
        <f t="shared" si="217"/>
        <v>6.217485984</v>
      </c>
      <c r="R349" s="81">
        <f t="shared" si="218"/>
        <v>98.01878833</v>
      </c>
    </row>
    <row r="350">
      <c r="A350" s="12"/>
      <c r="B350" s="80" t="s">
        <v>125</v>
      </c>
      <c r="C350" s="87">
        <v>31.0</v>
      </c>
      <c r="D350" s="86">
        <v>0.5590291666666667</v>
      </c>
      <c r="E350" s="88">
        <v>0.06840443866</v>
      </c>
      <c r="F350" s="89">
        <f t="shared" si="211"/>
        <v>4002.048391</v>
      </c>
      <c r="G350" s="81">
        <v>5946.0</v>
      </c>
      <c r="H350" s="81">
        <f t="shared" si="212"/>
        <v>1943.951609</v>
      </c>
      <c r="I350" s="25">
        <f t="shared" si="213"/>
        <v>3715.069516</v>
      </c>
      <c r="J350" s="64">
        <f>C350*'Rate Codes'!$D$7</f>
        <v>53.490035</v>
      </c>
      <c r="K350" s="25">
        <f>I350*'Rate Codes'!$D$8</f>
        <v>48.12129545</v>
      </c>
      <c r="L350" s="81">
        <f t="shared" si="214"/>
        <v>101.6113304</v>
      </c>
      <c r="M350" s="66">
        <f>I350*'Rate Codes'!$D$8</f>
        <v>48.12129545</v>
      </c>
      <c r="N350" s="67">
        <f>(H350)*'Billing Rate'!$B$1</f>
        <v>132.1887094</v>
      </c>
      <c r="O350" s="25">
        <f t="shared" si="215"/>
        <v>149.7326259</v>
      </c>
      <c r="P350" s="81">
        <f t="shared" si="216"/>
        <v>281.9213353</v>
      </c>
      <c r="Q350" s="25">
        <f t="shared" si="217"/>
        <v>14.09606676</v>
      </c>
      <c r="R350" s="81">
        <f t="shared" si="218"/>
        <v>296.0174021</v>
      </c>
    </row>
    <row r="351">
      <c r="A351" s="12"/>
      <c r="B351" s="80" t="s">
        <v>126</v>
      </c>
      <c r="C351" s="87">
        <v>30.0</v>
      </c>
      <c r="D351" s="86">
        <v>0.63125</v>
      </c>
      <c r="E351" s="88">
        <v>0.0271408052</v>
      </c>
      <c r="F351" s="89">
        <f t="shared" si="211"/>
        <v>1587.89134</v>
      </c>
      <c r="G351" s="81">
        <v>5587.0</v>
      </c>
      <c r="H351" s="81">
        <f t="shared" si="212"/>
        <v>3999.10866</v>
      </c>
      <c r="I351" s="25">
        <f t="shared" si="213"/>
        <v>3941.736919</v>
      </c>
      <c r="J351" s="64">
        <f>C351*'Rate Codes'!$D$7</f>
        <v>51.76455</v>
      </c>
      <c r="K351" s="25">
        <f>I351*'Rate Codes'!$D$8</f>
        <v>51.05731831</v>
      </c>
      <c r="L351" s="81">
        <f t="shared" si="214"/>
        <v>102.8218683</v>
      </c>
      <c r="M351" s="66">
        <f>I351*'Rate Codes'!$D$8</f>
        <v>51.05731831</v>
      </c>
      <c r="N351" s="67">
        <f>(H351)*'Billing Rate'!$B$1</f>
        <v>271.9393889</v>
      </c>
      <c r="O351" s="25">
        <f t="shared" si="215"/>
        <v>153.8791866</v>
      </c>
      <c r="P351" s="81">
        <f t="shared" si="216"/>
        <v>425.8185755</v>
      </c>
      <c r="Q351" s="25">
        <f t="shared" si="217"/>
        <v>21.29092877</v>
      </c>
      <c r="R351" s="81">
        <f t="shared" si="218"/>
        <v>447.1095043</v>
      </c>
    </row>
    <row r="352">
      <c r="A352" s="12"/>
      <c r="B352" s="80" t="s">
        <v>127</v>
      </c>
      <c r="C352" s="87">
        <v>31.0</v>
      </c>
      <c r="D352" s="86">
        <v>0.6680541666666667</v>
      </c>
      <c r="E352" s="88">
        <v>0.01559005293</v>
      </c>
      <c r="F352" s="89">
        <f t="shared" si="211"/>
        <v>912.1066917</v>
      </c>
      <c r="G352" s="81">
        <v>5490.0</v>
      </c>
      <c r="H352" s="81">
        <f t="shared" si="212"/>
        <v>4577.893308</v>
      </c>
      <c r="I352" s="25">
        <f t="shared" si="213"/>
        <v>4099.129078</v>
      </c>
      <c r="J352" s="64">
        <f>C352*'Rate Codes'!$D$7</f>
        <v>53.490035</v>
      </c>
      <c r="K352" s="25">
        <f>I352*'Rate Codes'!$D$8</f>
        <v>53.09601894</v>
      </c>
      <c r="L352" s="81">
        <f t="shared" si="214"/>
        <v>106.5860539</v>
      </c>
      <c r="M352" s="66">
        <f>I352*'Rate Codes'!$D$8</f>
        <v>53.09601894</v>
      </c>
      <c r="N352" s="67">
        <f>(H352)*'Billing Rate'!$B$1</f>
        <v>311.296745</v>
      </c>
      <c r="O352" s="25">
        <f t="shared" si="215"/>
        <v>159.6820729</v>
      </c>
      <c r="P352" s="81">
        <f t="shared" si="216"/>
        <v>470.9788178</v>
      </c>
      <c r="Q352" s="25">
        <f t="shared" si="217"/>
        <v>23.54894089</v>
      </c>
      <c r="R352" s="81">
        <f t="shared" si="218"/>
        <v>494.5277587</v>
      </c>
    </row>
    <row r="353">
      <c r="A353" s="12"/>
      <c r="B353" s="77" t="s">
        <v>109</v>
      </c>
      <c r="C353" s="82"/>
      <c r="D353" s="83"/>
      <c r="E353" s="83">
        <f t="shared" ref="E353:N353" si="219">SUM(E341:E352)</f>
        <v>1</v>
      </c>
      <c r="F353" s="84">
        <f t="shared" si="219"/>
        <v>58505.68281</v>
      </c>
      <c r="G353" s="85">
        <f t="shared" si="219"/>
        <v>66307</v>
      </c>
      <c r="H353" s="85">
        <f t="shared" si="219"/>
        <v>7801.317188</v>
      </c>
      <c r="I353" s="48">
        <f t="shared" si="219"/>
        <v>36353.20393</v>
      </c>
      <c r="J353" s="85">
        <f t="shared" si="219"/>
        <v>629.802025</v>
      </c>
      <c r="K353" s="85">
        <f t="shared" si="219"/>
        <v>470.8830505</v>
      </c>
      <c r="L353" s="85">
        <f t="shared" si="219"/>
        <v>1100.685075</v>
      </c>
      <c r="M353" s="85">
        <f t="shared" si="219"/>
        <v>470.8830505</v>
      </c>
      <c r="N353" s="85">
        <f t="shared" si="219"/>
        <v>530.4895688</v>
      </c>
      <c r="O353" s="48">
        <f t="shared" si="215"/>
        <v>1571.568126</v>
      </c>
      <c r="P353" s="85">
        <f t="shared" ref="P353:R353" si="220">SUM(P341:P352)</f>
        <v>2102.057695</v>
      </c>
      <c r="Q353" s="85">
        <f t="shared" si="220"/>
        <v>137.2016464</v>
      </c>
      <c r="R353" s="85">
        <f t="shared" si="220"/>
        <v>2239.259341</v>
      </c>
    </row>
    <row r="355">
      <c r="A355" s="76">
        <v>22.0</v>
      </c>
      <c r="B355" s="12" t="s">
        <v>128</v>
      </c>
      <c r="C355" s="12"/>
      <c r="D355" s="15"/>
      <c r="E355" s="15">
        <f>$E$1* POW((1 -$H$1),A355)</f>
        <v>58213.1544</v>
      </c>
      <c r="F355" s="1" t="s">
        <v>132</v>
      </c>
      <c r="G355" s="8">
        <f>E355/G369</f>
        <v>0.8779337686</v>
      </c>
      <c r="H355" s="1" t="s">
        <v>133</v>
      </c>
      <c r="I355" s="6">
        <f>1-G355</f>
        <v>0.1220662314</v>
      </c>
      <c r="J355" s="12" t="s">
        <v>74</v>
      </c>
      <c r="M355" s="12" t="s">
        <v>78</v>
      </c>
      <c r="N355" s="12"/>
      <c r="O355" s="12"/>
      <c r="P355" s="12"/>
      <c r="Q355" s="12"/>
      <c r="R355" s="12"/>
    </row>
    <row r="356">
      <c r="A356" s="12"/>
      <c r="B356" s="77" t="s">
        <v>83</v>
      </c>
      <c r="C356" s="78" t="s">
        <v>88</v>
      </c>
      <c r="D356" s="44" t="s">
        <v>87</v>
      </c>
      <c r="E356" s="77" t="s">
        <v>140</v>
      </c>
      <c r="F356" s="77" t="s">
        <v>135</v>
      </c>
      <c r="G356" s="78" t="s">
        <v>89</v>
      </c>
      <c r="H356" s="78" t="s">
        <v>138</v>
      </c>
      <c r="I356" s="20" t="s">
        <v>139</v>
      </c>
      <c r="J356" s="78" t="s">
        <v>76</v>
      </c>
      <c r="K356" s="78" t="s">
        <v>82</v>
      </c>
      <c r="L356" s="78" t="s">
        <v>109</v>
      </c>
      <c r="M356" s="78" t="s">
        <v>80</v>
      </c>
      <c r="N356" s="78" t="s">
        <v>67</v>
      </c>
      <c r="O356" s="45" t="s">
        <v>114</v>
      </c>
      <c r="P356" s="79" t="s">
        <v>115</v>
      </c>
      <c r="Q356" s="79" t="s">
        <v>60</v>
      </c>
      <c r="R356" s="79" t="s">
        <v>109</v>
      </c>
    </row>
    <row r="357">
      <c r="A357" s="12"/>
      <c r="B357" s="80" t="s">
        <v>117</v>
      </c>
      <c r="C357" s="87">
        <v>31.0</v>
      </c>
      <c r="D357" s="86">
        <v>0.6479166666666667</v>
      </c>
      <c r="E357" s="88">
        <v>0.02731296772</v>
      </c>
      <c r="F357" s="89">
        <f t="shared" ref="F357:F368" si="221">$E$355*E357</f>
        <v>1589.974007</v>
      </c>
      <c r="G357" s="81">
        <v>5726.0</v>
      </c>
      <c r="H357" s="81">
        <f t="shared" ref="H357:H368" si="222">G357-F357</f>
        <v>4136.025993</v>
      </c>
      <c r="I357" s="25">
        <f t="shared" ref="I357:I368" si="223">D357*G357*(1+$I$355)</f>
        <v>4162.832991</v>
      </c>
      <c r="J357" s="64">
        <f>C357*'Rate Codes'!$D$7</f>
        <v>53.490035</v>
      </c>
      <c r="K357" s="25">
        <f>I357*'Rate Codes'!$D$8</f>
        <v>53.92117574</v>
      </c>
      <c r="L357" s="81">
        <f t="shared" ref="L357:L368" si="224">SUM(J357:K357)</f>
        <v>107.4112107</v>
      </c>
      <c r="M357" s="66">
        <f>I357*'Rate Codes'!$D$8</f>
        <v>53.92117574</v>
      </c>
      <c r="N357" s="67">
        <f>(H357)*'Billing Rate'!$B$1</f>
        <v>281.2497675</v>
      </c>
      <c r="O357" s="25">
        <f t="shared" ref="O357:O369" si="225">L357+M357</f>
        <v>161.3323865</v>
      </c>
      <c r="P357" s="81">
        <f t="shared" ref="P357:P368" si="226">N357+L357+M357</f>
        <v>442.582154</v>
      </c>
      <c r="Q357" s="25">
        <f t="shared" ref="Q357:Q368" si="227">(IF(N357&gt;0,N357,0)+O357)*0.05</f>
        <v>22.1291077</v>
      </c>
      <c r="R357" s="81">
        <f t="shared" ref="R357:R368" si="228">P357+Q357</f>
        <v>464.7112617</v>
      </c>
    </row>
    <row r="358">
      <c r="A358" s="12"/>
      <c r="B358" s="80" t="s">
        <v>118</v>
      </c>
      <c r="C358" s="87">
        <v>28.0</v>
      </c>
      <c r="D358" s="86">
        <v>0.5868041666666667</v>
      </c>
      <c r="E358" s="88">
        <v>0.04620731865</v>
      </c>
      <c r="F358" s="89">
        <f t="shared" si="221"/>
        <v>2689.873775</v>
      </c>
      <c r="G358" s="81">
        <v>5279.0</v>
      </c>
      <c r="H358" s="81">
        <f t="shared" si="222"/>
        <v>2589.126225</v>
      </c>
      <c r="I358" s="25">
        <f t="shared" si="223"/>
        <v>3475.868545</v>
      </c>
      <c r="J358" s="64">
        <f>C358*'Rate Codes'!$D$7</f>
        <v>48.31358</v>
      </c>
      <c r="K358" s="25">
        <f>I358*'Rate Codes'!$D$8</f>
        <v>45.02292527</v>
      </c>
      <c r="L358" s="81">
        <f t="shared" si="224"/>
        <v>93.33650527</v>
      </c>
      <c r="M358" s="66">
        <f>I358*'Rate Codes'!$D$8</f>
        <v>45.02292527</v>
      </c>
      <c r="N358" s="67">
        <f>(H358)*'Billing Rate'!$B$1</f>
        <v>176.0605833</v>
      </c>
      <c r="O358" s="25">
        <f t="shared" si="225"/>
        <v>138.3594305</v>
      </c>
      <c r="P358" s="81">
        <f t="shared" si="226"/>
        <v>314.4200138</v>
      </c>
      <c r="Q358" s="25">
        <f t="shared" si="227"/>
        <v>15.72100069</v>
      </c>
      <c r="R358" s="81">
        <f t="shared" si="228"/>
        <v>330.1410145</v>
      </c>
    </row>
    <row r="359">
      <c r="A359" s="12"/>
      <c r="B359" s="80" t="s">
        <v>119</v>
      </c>
      <c r="C359" s="87">
        <v>31.0</v>
      </c>
      <c r="D359" s="86">
        <v>0.5083333333333333</v>
      </c>
      <c r="E359" s="88">
        <v>0.08500831624</v>
      </c>
      <c r="F359" s="89">
        <f t="shared" si="221"/>
        <v>4948.602238</v>
      </c>
      <c r="G359" s="81">
        <v>4991.0</v>
      </c>
      <c r="H359" s="81">
        <f t="shared" si="222"/>
        <v>42.39776163</v>
      </c>
      <c r="I359" s="25">
        <f t="shared" si="223"/>
        <v>2846.784885</v>
      </c>
      <c r="J359" s="64">
        <f>C359*'Rate Codes'!$D$7</f>
        <v>53.490035</v>
      </c>
      <c r="K359" s="25">
        <f>I359*'Rate Codes'!$D$8</f>
        <v>36.87440462</v>
      </c>
      <c r="L359" s="81">
        <f t="shared" si="224"/>
        <v>90.36443962</v>
      </c>
      <c r="M359" s="66">
        <f>I359*'Rate Codes'!$D$8</f>
        <v>36.87440462</v>
      </c>
      <c r="N359" s="67">
        <f>(H359)*'Billing Rate'!$B$1</f>
        <v>2.883047791</v>
      </c>
      <c r="O359" s="25">
        <f t="shared" si="225"/>
        <v>127.2388442</v>
      </c>
      <c r="P359" s="81">
        <f t="shared" si="226"/>
        <v>130.121892</v>
      </c>
      <c r="Q359" s="25">
        <f t="shared" si="227"/>
        <v>6.506094601</v>
      </c>
      <c r="R359" s="81">
        <f t="shared" si="228"/>
        <v>136.6279866</v>
      </c>
    </row>
    <row r="360">
      <c r="A360" s="12"/>
      <c r="B360" s="80" t="s">
        <v>120</v>
      </c>
      <c r="C360" s="87">
        <v>30.0</v>
      </c>
      <c r="D360" s="86">
        <v>0.425</v>
      </c>
      <c r="E360" s="88">
        <v>0.108773175</v>
      </c>
      <c r="F360" s="89">
        <f t="shared" si="221"/>
        <v>6332.029631</v>
      </c>
      <c r="G360" s="81">
        <v>4952.0</v>
      </c>
      <c r="H360" s="81">
        <f t="shared" si="222"/>
        <v>-1380.029631</v>
      </c>
      <c r="I360" s="25">
        <f t="shared" si="223"/>
        <v>2361.500591</v>
      </c>
      <c r="J360" s="64">
        <f>C360*'Rate Codes'!$D$7</f>
        <v>51.76455</v>
      </c>
      <c r="K360" s="25">
        <f>I360*'Rate Codes'!$D$8</f>
        <v>30.58851715</v>
      </c>
      <c r="L360" s="81">
        <f t="shared" si="224"/>
        <v>82.35306715</v>
      </c>
      <c r="M360" s="66">
        <f>I360*'Rate Codes'!$D$8</f>
        <v>30.58851715</v>
      </c>
      <c r="N360" s="67">
        <f>(H360)*'Billing Rate'!$B$1</f>
        <v>-93.84201488</v>
      </c>
      <c r="O360" s="25">
        <f t="shared" si="225"/>
        <v>112.9415843</v>
      </c>
      <c r="P360" s="81">
        <f t="shared" si="226"/>
        <v>19.09956942</v>
      </c>
      <c r="Q360" s="25">
        <f t="shared" si="227"/>
        <v>5.647079215</v>
      </c>
      <c r="R360" s="81">
        <f t="shared" si="228"/>
        <v>24.74664863</v>
      </c>
    </row>
    <row r="361">
      <c r="A361" s="12"/>
      <c r="B361" s="80" t="s">
        <v>98</v>
      </c>
      <c r="C361" s="87">
        <v>31.0</v>
      </c>
      <c r="D361" s="86">
        <v>0.35277916666666664</v>
      </c>
      <c r="E361" s="88">
        <v>0.1281742617</v>
      </c>
      <c r="F361" s="89">
        <f t="shared" si="221"/>
        <v>7461.428086</v>
      </c>
      <c r="G361" s="81">
        <v>5559.0</v>
      </c>
      <c r="H361" s="81">
        <f t="shared" si="222"/>
        <v>-1902.428086</v>
      </c>
      <c r="I361" s="25">
        <f t="shared" si="223"/>
        <v>2200.483399</v>
      </c>
      <c r="J361" s="64">
        <f>C361*'Rate Codes'!$D$7</f>
        <v>53.490035</v>
      </c>
      <c r="K361" s="25">
        <f>I361*'Rate Codes'!$D$8</f>
        <v>28.50286147</v>
      </c>
      <c r="L361" s="81">
        <f t="shared" si="224"/>
        <v>81.99289647</v>
      </c>
      <c r="M361" s="66">
        <f>I361*'Rate Codes'!$D$8</f>
        <v>28.50286147</v>
      </c>
      <c r="N361" s="67">
        <f>(H361)*'Billing Rate'!$B$1</f>
        <v>-129.3651099</v>
      </c>
      <c r="O361" s="25">
        <f t="shared" si="225"/>
        <v>110.4957579</v>
      </c>
      <c r="P361" s="81">
        <f t="shared" si="226"/>
        <v>-18.86935192</v>
      </c>
      <c r="Q361" s="25">
        <f t="shared" si="227"/>
        <v>5.524787897</v>
      </c>
      <c r="R361" s="81">
        <f t="shared" si="228"/>
        <v>-13.34456403</v>
      </c>
    </row>
    <row r="362">
      <c r="A362" s="12"/>
      <c r="B362" s="80" t="s">
        <v>121</v>
      </c>
      <c r="C362" s="87">
        <v>30.0</v>
      </c>
      <c r="D362" s="86">
        <v>0.31388750000000004</v>
      </c>
      <c r="E362" s="88">
        <v>0.1254860808</v>
      </c>
      <c r="F362" s="89">
        <f t="shared" si="221"/>
        <v>7304.940596</v>
      </c>
      <c r="G362" s="81">
        <v>4964.0</v>
      </c>
      <c r="H362" s="81">
        <f t="shared" si="222"/>
        <v>-2340.940596</v>
      </c>
      <c r="I362" s="25">
        <f t="shared" si="223"/>
        <v>1748.333529</v>
      </c>
      <c r="J362" s="64">
        <f>C362*'Rate Codes'!$D$7</f>
        <v>51.76455</v>
      </c>
      <c r="K362" s="25">
        <f>I362*'Rate Codes'!$D$8</f>
        <v>22.6461642</v>
      </c>
      <c r="L362" s="81">
        <f t="shared" si="224"/>
        <v>74.4107142</v>
      </c>
      <c r="M362" s="66">
        <f>I362*'Rate Codes'!$D$8</f>
        <v>22.6461642</v>
      </c>
      <c r="N362" s="67">
        <f>(H362)*'Billing Rate'!$B$1</f>
        <v>-159.1839606</v>
      </c>
      <c r="O362" s="25">
        <f t="shared" si="225"/>
        <v>97.05687839</v>
      </c>
      <c r="P362" s="81">
        <f t="shared" si="226"/>
        <v>-62.12708216</v>
      </c>
      <c r="Q362" s="25">
        <f t="shared" si="227"/>
        <v>4.85284392</v>
      </c>
      <c r="R362" s="81">
        <f t="shared" si="228"/>
        <v>-57.27423824</v>
      </c>
    </row>
    <row r="363">
      <c r="A363" s="12"/>
      <c r="B363" s="80" t="s">
        <v>122</v>
      </c>
      <c r="C363" s="87">
        <v>31.0</v>
      </c>
      <c r="D363" s="86">
        <v>0.33125</v>
      </c>
      <c r="E363" s="88">
        <v>0.1449493112</v>
      </c>
      <c r="F363" s="89">
        <f t="shared" si="221"/>
        <v>8437.956633</v>
      </c>
      <c r="G363" s="81">
        <v>6634.0</v>
      </c>
      <c r="H363" s="81">
        <f t="shared" si="222"/>
        <v>-1803.956633</v>
      </c>
      <c r="I363" s="25">
        <f t="shared" si="223"/>
        <v>2465.754569</v>
      </c>
      <c r="J363" s="64">
        <f>C363*'Rate Codes'!$D$7</f>
        <v>53.490035</v>
      </c>
      <c r="K363" s="25">
        <f>I363*'Rate Codes'!$D$8</f>
        <v>31.93891894</v>
      </c>
      <c r="L363" s="81">
        <f t="shared" si="224"/>
        <v>85.42895394</v>
      </c>
      <c r="M363" s="66">
        <f>I363*'Rate Codes'!$D$8</f>
        <v>31.93891894</v>
      </c>
      <c r="N363" s="67">
        <f>(H363)*'Billing Rate'!$B$1</f>
        <v>-122.669051</v>
      </c>
      <c r="O363" s="25">
        <f t="shared" si="225"/>
        <v>117.3678729</v>
      </c>
      <c r="P363" s="81">
        <f t="shared" si="226"/>
        <v>-5.301178155</v>
      </c>
      <c r="Q363" s="25">
        <f t="shared" si="227"/>
        <v>5.868393644</v>
      </c>
      <c r="R363" s="81">
        <f t="shared" si="228"/>
        <v>0.5672154885</v>
      </c>
    </row>
    <row r="364">
      <c r="A364" s="12"/>
      <c r="B364" s="80" t="s">
        <v>123</v>
      </c>
      <c r="C364" s="87">
        <v>31.0</v>
      </c>
      <c r="D364" s="86">
        <v>0.3951375</v>
      </c>
      <c r="E364" s="88">
        <v>0.1246952409</v>
      </c>
      <c r="F364" s="89">
        <f t="shared" si="221"/>
        <v>7258.903311</v>
      </c>
      <c r="G364" s="81">
        <v>5909.0</v>
      </c>
      <c r="H364" s="81">
        <f t="shared" si="222"/>
        <v>-1349.903311</v>
      </c>
      <c r="I364" s="25">
        <f t="shared" si="223"/>
        <v>2619.875962</v>
      </c>
      <c r="J364" s="64">
        <f>C364*'Rate Codes'!$D$7</f>
        <v>53.490035</v>
      </c>
      <c r="K364" s="25">
        <f>I364*'Rate Codes'!$D$8</f>
        <v>33.93525334</v>
      </c>
      <c r="L364" s="81">
        <f t="shared" si="224"/>
        <v>87.42528834</v>
      </c>
      <c r="M364" s="66">
        <f>I364*'Rate Codes'!$D$8</f>
        <v>33.93525334</v>
      </c>
      <c r="N364" s="67">
        <f>(H364)*'Billing Rate'!$B$1</f>
        <v>-91.79342516</v>
      </c>
      <c r="O364" s="25">
        <f t="shared" si="225"/>
        <v>121.3605417</v>
      </c>
      <c r="P364" s="81">
        <f t="shared" si="226"/>
        <v>29.56711652</v>
      </c>
      <c r="Q364" s="25">
        <f t="shared" si="227"/>
        <v>6.068027084</v>
      </c>
      <c r="R364" s="81">
        <f t="shared" si="228"/>
        <v>35.63514361</v>
      </c>
    </row>
    <row r="365">
      <c r="A365" s="12"/>
      <c r="B365" s="80" t="s">
        <v>124</v>
      </c>
      <c r="C365" s="87">
        <v>30.0</v>
      </c>
      <c r="D365" s="86">
        <v>0.4756958333333334</v>
      </c>
      <c r="E365" s="88">
        <v>0.09825803101</v>
      </c>
      <c r="F365" s="89">
        <f t="shared" si="221"/>
        <v>5719.90993</v>
      </c>
      <c r="G365" s="81">
        <v>5270.0</v>
      </c>
      <c r="H365" s="81">
        <f t="shared" si="222"/>
        <v>-449.90993</v>
      </c>
      <c r="I365" s="25">
        <f t="shared" si="223"/>
        <v>2812.926957</v>
      </c>
      <c r="J365" s="64">
        <f>C365*'Rate Codes'!$D$7</f>
        <v>51.76455</v>
      </c>
      <c r="K365" s="25">
        <f>I365*'Rate Codes'!$D$8</f>
        <v>36.43584288</v>
      </c>
      <c r="L365" s="81">
        <f t="shared" si="224"/>
        <v>88.20039288</v>
      </c>
      <c r="M365" s="66">
        <f>I365*'Rate Codes'!$D$8</f>
        <v>36.43584288</v>
      </c>
      <c r="N365" s="67">
        <f>(H365)*'Billing Rate'!$B$1</f>
        <v>-30.59387524</v>
      </c>
      <c r="O365" s="25">
        <f t="shared" si="225"/>
        <v>124.6362358</v>
      </c>
      <c r="P365" s="81">
        <f t="shared" si="226"/>
        <v>94.04236051</v>
      </c>
      <c r="Q365" s="25">
        <f t="shared" si="227"/>
        <v>6.231811788</v>
      </c>
      <c r="R365" s="81">
        <f t="shared" si="228"/>
        <v>100.2741723</v>
      </c>
    </row>
    <row r="366">
      <c r="A366" s="12"/>
      <c r="B366" s="80" t="s">
        <v>125</v>
      </c>
      <c r="C366" s="87">
        <v>31.0</v>
      </c>
      <c r="D366" s="86">
        <v>0.5590291666666667</v>
      </c>
      <c r="E366" s="88">
        <v>0.06840443866</v>
      </c>
      <c r="F366" s="89">
        <f t="shared" si="221"/>
        <v>3982.038149</v>
      </c>
      <c r="G366" s="81">
        <v>5946.0</v>
      </c>
      <c r="H366" s="81">
        <f t="shared" si="222"/>
        <v>1963.961851</v>
      </c>
      <c r="I366" s="25">
        <f t="shared" si="223"/>
        <v>3729.734043</v>
      </c>
      <c r="J366" s="64">
        <f>C366*'Rate Codes'!$D$7</f>
        <v>53.490035</v>
      </c>
      <c r="K366" s="25">
        <f>I366*'Rate Codes'!$D$8</f>
        <v>48.31124506</v>
      </c>
      <c r="L366" s="81">
        <f t="shared" si="224"/>
        <v>101.8012801</v>
      </c>
      <c r="M366" s="66">
        <f>I366*'Rate Codes'!$D$8</f>
        <v>48.31124506</v>
      </c>
      <c r="N366" s="67">
        <f>(H366)*'Billing Rate'!$B$1</f>
        <v>133.5494059</v>
      </c>
      <c r="O366" s="25">
        <f t="shared" si="225"/>
        <v>150.1125251</v>
      </c>
      <c r="P366" s="81">
        <f t="shared" si="226"/>
        <v>283.661931</v>
      </c>
      <c r="Q366" s="25">
        <f t="shared" si="227"/>
        <v>14.18309655</v>
      </c>
      <c r="R366" s="81">
        <f t="shared" si="228"/>
        <v>297.8450275</v>
      </c>
    </row>
    <row r="367">
      <c r="A367" s="12"/>
      <c r="B367" s="80" t="s">
        <v>126</v>
      </c>
      <c r="C367" s="87">
        <v>30.0</v>
      </c>
      <c r="D367" s="86">
        <v>0.63125</v>
      </c>
      <c r="E367" s="88">
        <v>0.0271408052</v>
      </c>
      <c r="F367" s="89">
        <f t="shared" si="221"/>
        <v>1579.951884</v>
      </c>
      <c r="G367" s="81">
        <v>5587.0</v>
      </c>
      <c r="H367" s="81">
        <f t="shared" si="222"/>
        <v>4007.048116</v>
      </c>
      <c r="I367" s="25">
        <f t="shared" si="223"/>
        <v>3957.296172</v>
      </c>
      <c r="J367" s="64">
        <f>C367*'Rate Codes'!$D$7</f>
        <v>51.76455</v>
      </c>
      <c r="K367" s="25">
        <f>I367*'Rate Codes'!$D$8</f>
        <v>51.25885731</v>
      </c>
      <c r="L367" s="81">
        <f t="shared" si="224"/>
        <v>103.0234073</v>
      </c>
      <c r="M367" s="66">
        <f>I367*'Rate Codes'!$D$8</f>
        <v>51.25885731</v>
      </c>
      <c r="N367" s="67">
        <f>(H367)*'Billing Rate'!$B$1</f>
        <v>272.4792719</v>
      </c>
      <c r="O367" s="25">
        <f t="shared" si="225"/>
        <v>154.2822646</v>
      </c>
      <c r="P367" s="81">
        <f t="shared" si="226"/>
        <v>426.7615365</v>
      </c>
      <c r="Q367" s="25">
        <f t="shared" si="227"/>
        <v>21.33807683</v>
      </c>
      <c r="R367" s="81">
        <f t="shared" si="228"/>
        <v>448.0996134</v>
      </c>
    </row>
    <row r="368">
      <c r="A368" s="12"/>
      <c r="B368" s="80" t="s">
        <v>127</v>
      </c>
      <c r="C368" s="87">
        <v>31.0</v>
      </c>
      <c r="D368" s="86">
        <v>0.6680541666666667</v>
      </c>
      <c r="E368" s="88">
        <v>0.01559005293</v>
      </c>
      <c r="F368" s="89">
        <f t="shared" si="221"/>
        <v>907.5461583</v>
      </c>
      <c r="G368" s="81">
        <v>5490.0</v>
      </c>
      <c r="H368" s="81">
        <f t="shared" si="222"/>
        <v>4582.453842</v>
      </c>
      <c r="I368" s="25">
        <f t="shared" si="223"/>
        <v>4115.309606</v>
      </c>
      <c r="J368" s="64">
        <f>C368*'Rate Codes'!$D$7</f>
        <v>53.490035</v>
      </c>
      <c r="K368" s="25">
        <f>I368*'Rate Codes'!$D$8</f>
        <v>53.30560533</v>
      </c>
      <c r="L368" s="81">
        <f t="shared" si="224"/>
        <v>106.7956403</v>
      </c>
      <c r="M368" s="66">
        <f>I368*'Rate Codes'!$D$8</f>
        <v>53.30560533</v>
      </c>
      <c r="N368" s="67">
        <f>(H368)*'Billing Rate'!$B$1</f>
        <v>311.6068612</v>
      </c>
      <c r="O368" s="25">
        <f t="shared" si="225"/>
        <v>160.1012457</v>
      </c>
      <c r="P368" s="81">
        <f t="shared" si="226"/>
        <v>471.7081069</v>
      </c>
      <c r="Q368" s="25">
        <f t="shared" si="227"/>
        <v>23.58540534</v>
      </c>
      <c r="R368" s="81">
        <f t="shared" si="228"/>
        <v>495.2935122</v>
      </c>
    </row>
    <row r="369">
      <c r="A369" s="12"/>
      <c r="B369" s="77" t="s">
        <v>109</v>
      </c>
      <c r="C369" s="82"/>
      <c r="D369" s="83"/>
      <c r="E369" s="83">
        <f t="shared" ref="E369:N369" si="229">SUM(E357:E368)</f>
        <v>1</v>
      </c>
      <c r="F369" s="84">
        <f t="shared" si="229"/>
        <v>58213.1544</v>
      </c>
      <c r="G369" s="85">
        <f t="shared" si="229"/>
        <v>66307</v>
      </c>
      <c r="H369" s="85">
        <f t="shared" si="229"/>
        <v>8093.845602</v>
      </c>
      <c r="I369" s="48">
        <f t="shared" si="229"/>
        <v>36496.70125</v>
      </c>
      <c r="J369" s="85">
        <f t="shared" si="229"/>
        <v>629.802025</v>
      </c>
      <c r="K369" s="85">
        <f t="shared" si="229"/>
        <v>472.7417713</v>
      </c>
      <c r="L369" s="85">
        <f t="shared" si="229"/>
        <v>1102.543796</v>
      </c>
      <c r="M369" s="85">
        <f t="shared" si="229"/>
        <v>472.7417713</v>
      </c>
      <c r="N369" s="85">
        <f t="shared" si="229"/>
        <v>550.3815009</v>
      </c>
      <c r="O369" s="48">
        <f t="shared" si="225"/>
        <v>1575.285568</v>
      </c>
      <c r="P369" s="85">
        <f t="shared" ref="P369:R369" si="230">SUM(P357:P368)</f>
        <v>2125.667068</v>
      </c>
      <c r="Q369" s="85">
        <f t="shared" si="230"/>
        <v>137.6557253</v>
      </c>
      <c r="R369" s="85">
        <f t="shared" si="230"/>
        <v>2263.322794</v>
      </c>
    </row>
    <row r="371">
      <c r="A371" s="76">
        <v>23.0</v>
      </c>
      <c r="B371" s="12" t="s">
        <v>128</v>
      </c>
      <c r="C371" s="12"/>
      <c r="D371" s="15"/>
      <c r="E371" s="15">
        <f>$E$1* POW((1 -$H$1),A371)</f>
        <v>57922.08863</v>
      </c>
      <c r="F371" s="1" t="s">
        <v>132</v>
      </c>
      <c r="G371" s="8">
        <f>E371/G385</f>
        <v>0.8735440998</v>
      </c>
      <c r="H371" s="1" t="s">
        <v>133</v>
      </c>
      <c r="I371" s="6">
        <f>1-G371</f>
        <v>0.1264559002</v>
      </c>
      <c r="J371" s="12" t="s">
        <v>74</v>
      </c>
      <c r="M371" s="12" t="s">
        <v>78</v>
      </c>
      <c r="N371" s="12"/>
      <c r="O371" s="12"/>
      <c r="P371" s="12"/>
      <c r="Q371" s="12"/>
      <c r="R371" s="12"/>
    </row>
    <row r="372">
      <c r="A372" s="12"/>
      <c r="B372" s="77" t="s">
        <v>83</v>
      </c>
      <c r="C372" s="78" t="s">
        <v>88</v>
      </c>
      <c r="D372" s="44" t="s">
        <v>87</v>
      </c>
      <c r="E372" s="77" t="s">
        <v>140</v>
      </c>
      <c r="F372" s="77" t="s">
        <v>135</v>
      </c>
      <c r="G372" s="78" t="s">
        <v>89</v>
      </c>
      <c r="H372" s="78" t="s">
        <v>138</v>
      </c>
      <c r="I372" s="20" t="s">
        <v>139</v>
      </c>
      <c r="J372" s="78" t="s">
        <v>76</v>
      </c>
      <c r="K372" s="78" t="s">
        <v>82</v>
      </c>
      <c r="L372" s="78" t="s">
        <v>109</v>
      </c>
      <c r="M372" s="78" t="s">
        <v>80</v>
      </c>
      <c r="N372" s="78" t="s">
        <v>67</v>
      </c>
      <c r="O372" s="45" t="s">
        <v>114</v>
      </c>
      <c r="P372" s="79" t="s">
        <v>115</v>
      </c>
      <c r="Q372" s="79" t="s">
        <v>60</v>
      </c>
      <c r="R372" s="79" t="s">
        <v>109</v>
      </c>
    </row>
    <row r="373">
      <c r="A373" s="12"/>
      <c r="B373" s="80" t="s">
        <v>117</v>
      </c>
      <c r="C373" s="87">
        <v>31.0</v>
      </c>
      <c r="D373" s="86">
        <v>0.6479166666666667</v>
      </c>
      <c r="E373" s="88">
        <v>0.02731296772</v>
      </c>
      <c r="F373" s="89">
        <f t="shared" ref="F373:F384" si="231">$E$371*E373</f>
        <v>1582.024137</v>
      </c>
      <c r="G373" s="81">
        <v>5726.0</v>
      </c>
      <c r="H373" s="81">
        <f t="shared" ref="H373:H384" si="232">G373-F373</f>
        <v>4143.975863</v>
      </c>
      <c r="I373" s="25">
        <f t="shared" ref="I373:I384" si="233">D373*G373*(1+$I$371)</f>
        <v>4179.118535</v>
      </c>
      <c r="J373" s="64">
        <f>C373*'Rate Codes'!$D$7</f>
        <v>53.490035</v>
      </c>
      <c r="K373" s="25">
        <f>I373*'Rate Codes'!$D$8</f>
        <v>54.13212238</v>
      </c>
      <c r="L373" s="81">
        <f t="shared" ref="L373:L384" si="234">SUM(J373:K373)</f>
        <v>107.6221574</v>
      </c>
      <c r="M373" s="66">
        <f>I373*'Rate Codes'!$D$8</f>
        <v>54.13212238</v>
      </c>
      <c r="N373" s="67">
        <f>(H373)*'Billing Rate'!$B$1</f>
        <v>281.7903587</v>
      </c>
      <c r="O373" s="25">
        <f t="shared" ref="O373:O385" si="235">L373+M373</f>
        <v>161.7542798</v>
      </c>
      <c r="P373" s="81">
        <f t="shared" ref="P373:P384" si="236">N373+L373+M373</f>
        <v>443.5446385</v>
      </c>
      <c r="Q373" s="25">
        <f t="shared" ref="Q373:Q384" si="237">(IF(N373&gt;0,N373,0)+O373)*0.05</f>
        <v>22.17723192</v>
      </c>
      <c r="R373" s="81">
        <f t="shared" ref="R373:R384" si="238">P373+Q373</f>
        <v>465.7218704</v>
      </c>
    </row>
    <row r="374">
      <c r="A374" s="12"/>
      <c r="B374" s="80" t="s">
        <v>118</v>
      </c>
      <c r="C374" s="87">
        <v>28.0</v>
      </c>
      <c r="D374" s="86">
        <v>0.5868041666666667</v>
      </c>
      <c r="E374" s="88">
        <v>0.04620731865</v>
      </c>
      <c r="F374" s="89">
        <f t="shared" si="231"/>
        <v>2676.424406</v>
      </c>
      <c r="G374" s="81">
        <v>5279.0</v>
      </c>
      <c r="H374" s="81">
        <f t="shared" si="232"/>
        <v>2602.575594</v>
      </c>
      <c r="I374" s="25">
        <f t="shared" si="233"/>
        <v>3489.466594</v>
      </c>
      <c r="J374" s="64">
        <f>C374*'Rate Codes'!$D$7</f>
        <v>48.31358</v>
      </c>
      <c r="K374" s="25">
        <f>I374*'Rate Codes'!$D$8</f>
        <v>45.1990608</v>
      </c>
      <c r="L374" s="81">
        <f t="shared" si="234"/>
        <v>93.5126408</v>
      </c>
      <c r="M374" s="66">
        <f>I374*'Rate Codes'!$D$8</f>
        <v>45.1990608</v>
      </c>
      <c r="N374" s="67">
        <f>(H374)*'Billing Rate'!$B$1</f>
        <v>176.9751404</v>
      </c>
      <c r="O374" s="25">
        <f t="shared" si="235"/>
        <v>138.7117016</v>
      </c>
      <c r="P374" s="81">
        <f t="shared" si="236"/>
        <v>315.686842</v>
      </c>
      <c r="Q374" s="25">
        <f t="shared" si="237"/>
        <v>15.7843421</v>
      </c>
      <c r="R374" s="81">
        <f t="shared" si="238"/>
        <v>331.4711841</v>
      </c>
    </row>
    <row r="375">
      <c r="A375" s="12"/>
      <c r="B375" s="80" t="s">
        <v>119</v>
      </c>
      <c r="C375" s="87">
        <v>31.0</v>
      </c>
      <c r="D375" s="86">
        <v>0.5083333333333333</v>
      </c>
      <c r="E375" s="88">
        <v>0.08500831624</v>
      </c>
      <c r="F375" s="89">
        <f t="shared" si="231"/>
        <v>4923.859227</v>
      </c>
      <c r="G375" s="81">
        <v>4991.0</v>
      </c>
      <c r="H375" s="81">
        <f t="shared" si="232"/>
        <v>67.14077282</v>
      </c>
      <c r="I375" s="25">
        <f t="shared" si="233"/>
        <v>2857.921877</v>
      </c>
      <c r="J375" s="64">
        <f>C375*'Rate Codes'!$D$7</f>
        <v>53.490035</v>
      </c>
      <c r="K375" s="25">
        <f>I375*'Rate Codes'!$D$8</f>
        <v>37.01866208</v>
      </c>
      <c r="L375" s="81">
        <f t="shared" si="234"/>
        <v>90.50869708</v>
      </c>
      <c r="M375" s="66">
        <f>I375*'Rate Codes'!$D$8</f>
        <v>37.01866208</v>
      </c>
      <c r="N375" s="67">
        <f>(H375)*'Billing Rate'!$B$1</f>
        <v>4.565572552</v>
      </c>
      <c r="O375" s="25">
        <f t="shared" si="235"/>
        <v>127.5273592</v>
      </c>
      <c r="P375" s="81">
        <f t="shared" si="236"/>
        <v>132.0929317</v>
      </c>
      <c r="Q375" s="25">
        <f t="shared" si="237"/>
        <v>6.604646585</v>
      </c>
      <c r="R375" s="81">
        <f t="shared" si="238"/>
        <v>138.6975783</v>
      </c>
    </row>
    <row r="376">
      <c r="A376" s="12"/>
      <c r="B376" s="80" t="s">
        <v>120</v>
      </c>
      <c r="C376" s="87">
        <v>30.0</v>
      </c>
      <c r="D376" s="86">
        <v>0.425</v>
      </c>
      <c r="E376" s="88">
        <v>0.108773175</v>
      </c>
      <c r="F376" s="89">
        <f t="shared" si="231"/>
        <v>6300.369482</v>
      </c>
      <c r="G376" s="81">
        <v>4952.0</v>
      </c>
      <c r="H376" s="81">
        <f t="shared" si="232"/>
        <v>-1348.369482</v>
      </c>
      <c r="I376" s="25">
        <f t="shared" si="233"/>
        <v>2370.739088</v>
      </c>
      <c r="J376" s="64">
        <f>C376*'Rate Codes'!$D$7</f>
        <v>51.76455</v>
      </c>
      <c r="K376" s="25">
        <f>I376*'Rate Codes'!$D$8</f>
        <v>30.7081834</v>
      </c>
      <c r="L376" s="81">
        <f t="shared" si="234"/>
        <v>82.4727334</v>
      </c>
      <c r="M376" s="66">
        <f>I376*'Rate Codes'!$D$8</f>
        <v>30.7081834</v>
      </c>
      <c r="N376" s="67">
        <f>(H376)*'Billing Rate'!$B$1</f>
        <v>-91.68912481</v>
      </c>
      <c r="O376" s="25">
        <f t="shared" si="235"/>
        <v>113.1809168</v>
      </c>
      <c r="P376" s="81">
        <f t="shared" si="236"/>
        <v>21.491792</v>
      </c>
      <c r="Q376" s="25">
        <f t="shared" si="237"/>
        <v>5.65904584</v>
      </c>
      <c r="R376" s="81">
        <f t="shared" si="238"/>
        <v>27.15083784</v>
      </c>
    </row>
    <row r="377">
      <c r="A377" s="12"/>
      <c r="B377" s="80" t="s">
        <v>98</v>
      </c>
      <c r="C377" s="87">
        <v>31.0</v>
      </c>
      <c r="D377" s="86">
        <v>0.35277916666666664</v>
      </c>
      <c r="E377" s="88">
        <v>0.1281742617</v>
      </c>
      <c r="F377" s="89">
        <f t="shared" si="231"/>
        <v>7424.120946</v>
      </c>
      <c r="G377" s="81">
        <v>5559.0</v>
      </c>
      <c r="H377" s="81">
        <f t="shared" si="232"/>
        <v>-1865.120946</v>
      </c>
      <c r="I377" s="25">
        <f t="shared" si="233"/>
        <v>2209.091976</v>
      </c>
      <c r="J377" s="64">
        <f>C377*'Rate Codes'!$D$7</f>
        <v>53.490035</v>
      </c>
      <c r="K377" s="25">
        <f>I377*'Rate Codes'!$D$8</f>
        <v>28.61436836</v>
      </c>
      <c r="L377" s="81">
        <f t="shared" si="234"/>
        <v>82.10440336</v>
      </c>
      <c r="M377" s="66">
        <f>I377*'Rate Codes'!$D$8</f>
        <v>28.61436836</v>
      </c>
      <c r="N377" s="67">
        <f>(H377)*'Billing Rate'!$B$1</f>
        <v>-126.8282243</v>
      </c>
      <c r="O377" s="25">
        <f t="shared" si="235"/>
        <v>110.7187717</v>
      </c>
      <c r="P377" s="81">
        <f t="shared" si="236"/>
        <v>-16.10945258</v>
      </c>
      <c r="Q377" s="25">
        <f t="shared" si="237"/>
        <v>5.535938586</v>
      </c>
      <c r="R377" s="81">
        <f t="shared" si="238"/>
        <v>-10.57351399</v>
      </c>
    </row>
    <row r="378">
      <c r="A378" s="12"/>
      <c r="B378" s="80" t="s">
        <v>121</v>
      </c>
      <c r="C378" s="87">
        <v>30.0</v>
      </c>
      <c r="D378" s="86">
        <v>0.31388750000000004</v>
      </c>
      <c r="E378" s="88">
        <v>0.1254860808</v>
      </c>
      <c r="F378" s="89">
        <f t="shared" si="231"/>
        <v>7268.415893</v>
      </c>
      <c r="G378" s="81">
        <v>4964.0</v>
      </c>
      <c r="H378" s="81">
        <f t="shared" si="232"/>
        <v>-2304.415893</v>
      </c>
      <c r="I378" s="25">
        <f t="shared" si="233"/>
        <v>1755.173237</v>
      </c>
      <c r="J378" s="64">
        <f>C378*'Rate Codes'!$D$7</f>
        <v>51.76455</v>
      </c>
      <c r="K378" s="25">
        <f>I378*'Rate Codes'!$D$8</f>
        <v>22.73475893</v>
      </c>
      <c r="L378" s="81">
        <f t="shared" si="234"/>
        <v>74.49930893</v>
      </c>
      <c r="M378" s="66">
        <f>I378*'Rate Codes'!$D$8</f>
        <v>22.73475893</v>
      </c>
      <c r="N378" s="67">
        <f>(H378)*'Billing Rate'!$B$1</f>
        <v>-156.7002808</v>
      </c>
      <c r="O378" s="25">
        <f t="shared" si="235"/>
        <v>97.23406787</v>
      </c>
      <c r="P378" s="81">
        <f t="shared" si="236"/>
        <v>-59.46621289</v>
      </c>
      <c r="Q378" s="25">
        <f t="shared" si="237"/>
        <v>4.861703393</v>
      </c>
      <c r="R378" s="81">
        <f t="shared" si="238"/>
        <v>-54.60450949</v>
      </c>
    </row>
    <row r="379">
      <c r="A379" s="12"/>
      <c r="B379" s="80" t="s">
        <v>122</v>
      </c>
      <c r="C379" s="87">
        <v>31.0</v>
      </c>
      <c r="D379" s="86">
        <v>0.33125</v>
      </c>
      <c r="E379" s="88">
        <v>0.1449493112</v>
      </c>
      <c r="F379" s="89">
        <f t="shared" si="231"/>
        <v>8395.76685</v>
      </c>
      <c r="G379" s="81">
        <v>6634.0</v>
      </c>
      <c r="H379" s="81">
        <f t="shared" si="232"/>
        <v>-1761.76685</v>
      </c>
      <c r="I379" s="25">
        <f t="shared" si="233"/>
        <v>2475.400921</v>
      </c>
      <c r="J379" s="64">
        <f>C379*'Rate Codes'!$D$7</f>
        <v>53.490035</v>
      </c>
      <c r="K379" s="25">
        <f>I379*'Rate Codes'!$D$8</f>
        <v>32.06386813</v>
      </c>
      <c r="L379" s="81">
        <f t="shared" si="234"/>
        <v>85.55390313</v>
      </c>
      <c r="M379" s="66">
        <f>I379*'Rate Codes'!$D$8</f>
        <v>32.06386813</v>
      </c>
      <c r="N379" s="67">
        <f>(H379)*'Billing Rate'!$B$1</f>
        <v>-119.8001458</v>
      </c>
      <c r="O379" s="25">
        <f t="shared" si="235"/>
        <v>117.6177713</v>
      </c>
      <c r="P379" s="81">
        <f t="shared" si="236"/>
        <v>-2.182374501</v>
      </c>
      <c r="Q379" s="25">
        <f t="shared" si="237"/>
        <v>5.880888563</v>
      </c>
      <c r="R379" s="81">
        <f t="shared" si="238"/>
        <v>3.698514062</v>
      </c>
    </row>
    <row r="380">
      <c r="A380" s="12"/>
      <c r="B380" s="80" t="s">
        <v>123</v>
      </c>
      <c r="C380" s="87">
        <v>31.0</v>
      </c>
      <c r="D380" s="86">
        <v>0.3951375</v>
      </c>
      <c r="E380" s="88">
        <v>0.1246952409</v>
      </c>
      <c r="F380" s="89">
        <f t="shared" si="231"/>
        <v>7222.608795</v>
      </c>
      <c r="G380" s="81">
        <v>5909.0</v>
      </c>
      <c r="H380" s="81">
        <f t="shared" si="232"/>
        <v>-1313.608795</v>
      </c>
      <c r="I380" s="25">
        <f t="shared" si="233"/>
        <v>2630.125257</v>
      </c>
      <c r="J380" s="64">
        <f>C380*'Rate Codes'!$D$7</f>
        <v>53.490035</v>
      </c>
      <c r="K380" s="25">
        <f>I380*'Rate Codes'!$D$8</f>
        <v>34.06801246</v>
      </c>
      <c r="L380" s="81">
        <f t="shared" si="234"/>
        <v>87.55804746</v>
      </c>
      <c r="M380" s="66">
        <f>I380*'Rate Codes'!$D$8</f>
        <v>34.06801246</v>
      </c>
      <c r="N380" s="67">
        <f>(H380)*'Billing Rate'!$B$1</f>
        <v>-89.32539803</v>
      </c>
      <c r="O380" s="25">
        <f t="shared" si="235"/>
        <v>121.6260599</v>
      </c>
      <c r="P380" s="81">
        <f t="shared" si="236"/>
        <v>32.30066189</v>
      </c>
      <c r="Q380" s="25">
        <f t="shared" si="237"/>
        <v>6.081302996</v>
      </c>
      <c r="R380" s="81">
        <f t="shared" si="238"/>
        <v>38.38196488</v>
      </c>
    </row>
    <row r="381">
      <c r="A381" s="12"/>
      <c r="B381" s="80" t="s">
        <v>124</v>
      </c>
      <c r="C381" s="87">
        <v>30.0</v>
      </c>
      <c r="D381" s="86">
        <v>0.4756958333333334</v>
      </c>
      <c r="E381" s="88">
        <v>0.09825803101</v>
      </c>
      <c r="F381" s="89">
        <f t="shared" si="231"/>
        <v>5691.31038</v>
      </c>
      <c r="G381" s="81">
        <v>5270.0</v>
      </c>
      <c r="H381" s="81">
        <f t="shared" si="232"/>
        <v>-421.3103803</v>
      </c>
      <c r="I381" s="25">
        <f t="shared" si="233"/>
        <v>2823.931493</v>
      </c>
      <c r="J381" s="64">
        <f>C381*'Rate Codes'!$D$7</f>
        <v>51.76455</v>
      </c>
      <c r="K381" s="25">
        <f>I381*'Rate Codes'!$D$8</f>
        <v>36.57838463</v>
      </c>
      <c r="L381" s="81">
        <f t="shared" si="234"/>
        <v>88.34293463</v>
      </c>
      <c r="M381" s="66">
        <f>I381*'Rate Codes'!$D$8</f>
        <v>36.57838463</v>
      </c>
      <c r="N381" s="67">
        <f>(H381)*'Billing Rate'!$B$1</f>
        <v>-28.64910586</v>
      </c>
      <c r="O381" s="25">
        <f t="shared" si="235"/>
        <v>124.9213193</v>
      </c>
      <c r="P381" s="81">
        <f t="shared" si="236"/>
        <v>96.27221339</v>
      </c>
      <c r="Q381" s="25">
        <f t="shared" si="237"/>
        <v>6.246065963</v>
      </c>
      <c r="R381" s="81">
        <f t="shared" si="238"/>
        <v>102.5182794</v>
      </c>
    </row>
    <row r="382">
      <c r="A382" s="12"/>
      <c r="B382" s="80" t="s">
        <v>125</v>
      </c>
      <c r="C382" s="87">
        <v>31.0</v>
      </c>
      <c r="D382" s="86">
        <v>0.5590291666666667</v>
      </c>
      <c r="E382" s="88">
        <v>0.06840443866</v>
      </c>
      <c r="F382" s="89">
        <f t="shared" si="231"/>
        <v>3962.127958</v>
      </c>
      <c r="G382" s="81">
        <v>5946.0</v>
      </c>
      <c r="H382" s="81">
        <f t="shared" si="232"/>
        <v>1983.872042</v>
      </c>
      <c r="I382" s="25">
        <f t="shared" si="233"/>
        <v>3744.325247</v>
      </c>
      <c r="J382" s="64">
        <f>C382*'Rate Codes'!$D$7</f>
        <v>53.490035</v>
      </c>
      <c r="K382" s="25">
        <f>I382*'Rate Codes'!$D$8</f>
        <v>48.50024493</v>
      </c>
      <c r="L382" s="81">
        <f t="shared" si="234"/>
        <v>101.9902799</v>
      </c>
      <c r="M382" s="66">
        <f>I382*'Rate Codes'!$D$8</f>
        <v>48.50024493</v>
      </c>
      <c r="N382" s="67">
        <f>(H382)*'Billing Rate'!$B$1</f>
        <v>134.9032988</v>
      </c>
      <c r="O382" s="25">
        <f t="shared" si="235"/>
        <v>150.4905249</v>
      </c>
      <c r="P382" s="81">
        <f t="shared" si="236"/>
        <v>285.3938237</v>
      </c>
      <c r="Q382" s="25">
        <f t="shared" si="237"/>
        <v>14.26969118</v>
      </c>
      <c r="R382" s="81">
        <f t="shared" si="238"/>
        <v>299.6635149</v>
      </c>
    </row>
    <row r="383">
      <c r="A383" s="12"/>
      <c r="B383" s="80" t="s">
        <v>126</v>
      </c>
      <c r="C383" s="87">
        <v>30.0</v>
      </c>
      <c r="D383" s="86">
        <v>0.63125</v>
      </c>
      <c r="E383" s="88">
        <v>0.0271408052</v>
      </c>
      <c r="F383" s="89">
        <f t="shared" si="231"/>
        <v>1572.052124</v>
      </c>
      <c r="G383" s="81">
        <v>5587.0</v>
      </c>
      <c r="H383" s="81">
        <f t="shared" si="232"/>
        <v>4014.947876</v>
      </c>
      <c r="I383" s="25">
        <f t="shared" si="233"/>
        <v>3972.777628</v>
      </c>
      <c r="J383" s="64">
        <f>C383*'Rate Codes'!$D$7</f>
        <v>51.76455</v>
      </c>
      <c r="K383" s="25">
        <f>I383*'Rate Codes'!$D$8</f>
        <v>51.45938862</v>
      </c>
      <c r="L383" s="81">
        <f t="shared" si="234"/>
        <v>103.2239386</v>
      </c>
      <c r="M383" s="66">
        <f>I383*'Rate Codes'!$D$8</f>
        <v>51.45938862</v>
      </c>
      <c r="N383" s="67">
        <f>(H383)*'Billing Rate'!$B$1</f>
        <v>273.0164556</v>
      </c>
      <c r="O383" s="25">
        <f t="shared" si="235"/>
        <v>154.6833272</v>
      </c>
      <c r="P383" s="81">
        <f t="shared" si="236"/>
        <v>427.6997828</v>
      </c>
      <c r="Q383" s="25">
        <f t="shared" si="237"/>
        <v>21.38498914</v>
      </c>
      <c r="R383" s="81">
        <f t="shared" si="238"/>
        <v>449.0847719</v>
      </c>
    </row>
    <row r="384">
      <c r="A384" s="12"/>
      <c r="B384" s="80" t="s">
        <v>127</v>
      </c>
      <c r="C384" s="87">
        <v>31.0</v>
      </c>
      <c r="D384" s="86">
        <v>0.6680541666666667</v>
      </c>
      <c r="E384" s="88">
        <v>0.01559005293</v>
      </c>
      <c r="F384" s="89">
        <f t="shared" si="231"/>
        <v>903.0084275</v>
      </c>
      <c r="G384" s="81">
        <v>5490.0</v>
      </c>
      <c r="H384" s="81">
        <f t="shared" si="232"/>
        <v>4586.991573</v>
      </c>
      <c r="I384" s="25">
        <f t="shared" si="233"/>
        <v>4131.409232</v>
      </c>
      <c r="J384" s="64">
        <f>C384*'Rate Codes'!$D$7</f>
        <v>53.490035</v>
      </c>
      <c r="K384" s="25">
        <f>I384*'Rate Codes'!$D$8</f>
        <v>53.51414378</v>
      </c>
      <c r="L384" s="81">
        <f t="shared" si="234"/>
        <v>107.0041788</v>
      </c>
      <c r="M384" s="66">
        <f>I384*'Rate Codes'!$D$8</f>
        <v>53.51414378</v>
      </c>
      <c r="N384" s="67">
        <f>(H384)*'Billing Rate'!$B$1</f>
        <v>311.9154269</v>
      </c>
      <c r="O384" s="25">
        <f t="shared" si="235"/>
        <v>160.5183226</v>
      </c>
      <c r="P384" s="81">
        <f t="shared" si="236"/>
        <v>472.4337495</v>
      </c>
      <c r="Q384" s="25">
        <f t="shared" si="237"/>
        <v>23.62168747</v>
      </c>
      <c r="R384" s="81">
        <f t="shared" si="238"/>
        <v>496.055437</v>
      </c>
    </row>
    <row r="385">
      <c r="A385" s="12"/>
      <c r="B385" s="77" t="s">
        <v>109</v>
      </c>
      <c r="C385" s="82"/>
      <c r="D385" s="83"/>
      <c r="E385" s="83">
        <f t="shared" ref="E385:N385" si="239">SUM(E373:E384)</f>
        <v>1</v>
      </c>
      <c r="F385" s="84">
        <f t="shared" si="239"/>
        <v>57922.08863</v>
      </c>
      <c r="G385" s="85">
        <f t="shared" si="239"/>
        <v>66307</v>
      </c>
      <c r="H385" s="85">
        <f t="shared" si="239"/>
        <v>8384.911374</v>
      </c>
      <c r="I385" s="48">
        <f t="shared" si="239"/>
        <v>36639.48109</v>
      </c>
      <c r="J385" s="85">
        <f t="shared" si="239"/>
        <v>629.802025</v>
      </c>
      <c r="K385" s="85">
        <f t="shared" si="239"/>
        <v>474.5911985</v>
      </c>
      <c r="L385" s="85">
        <f t="shared" si="239"/>
        <v>1104.393223</v>
      </c>
      <c r="M385" s="85">
        <f t="shared" si="239"/>
        <v>474.5911985</v>
      </c>
      <c r="N385" s="85">
        <f t="shared" si="239"/>
        <v>570.1739734</v>
      </c>
      <c r="O385" s="48">
        <f t="shared" si="235"/>
        <v>1578.984422</v>
      </c>
      <c r="P385" s="85">
        <f t="shared" ref="P385:R385" si="240">SUM(P373:P384)</f>
        <v>2149.158395</v>
      </c>
      <c r="Q385" s="85">
        <f t="shared" si="240"/>
        <v>138.1075337</v>
      </c>
      <c r="R385" s="85">
        <f t="shared" si="240"/>
        <v>2287.265929</v>
      </c>
    </row>
    <row r="387">
      <c r="A387" s="76">
        <v>24.0</v>
      </c>
      <c r="B387" s="12" t="s">
        <v>128</v>
      </c>
      <c r="C387" s="12"/>
      <c r="D387" s="15"/>
      <c r="E387" s="15">
        <f>$E$1* POW((1 -$H$1),A387)</f>
        <v>57632.47818</v>
      </c>
      <c r="F387" s="1" t="s">
        <v>132</v>
      </c>
      <c r="G387" s="8">
        <f>E387/G401</f>
        <v>0.8691763793</v>
      </c>
      <c r="H387" s="1" t="s">
        <v>133</v>
      </c>
      <c r="I387" s="6">
        <f>1-G387</f>
        <v>0.1308236207</v>
      </c>
      <c r="J387" s="12" t="s">
        <v>74</v>
      </c>
      <c r="M387" s="12" t="s">
        <v>78</v>
      </c>
      <c r="N387" s="12"/>
      <c r="O387" s="12"/>
      <c r="P387" s="12"/>
      <c r="Q387" s="12"/>
      <c r="R387" s="12"/>
    </row>
    <row r="388">
      <c r="A388" s="12"/>
      <c r="B388" s="77" t="s">
        <v>83</v>
      </c>
      <c r="C388" s="78" t="s">
        <v>88</v>
      </c>
      <c r="D388" s="44" t="s">
        <v>87</v>
      </c>
      <c r="E388" s="77" t="s">
        <v>140</v>
      </c>
      <c r="F388" s="77" t="s">
        <v>135</v>
      </c>
      <c r="G388" s="78" t="s">
        <v>89</v>
      </c>
      <c r="H388" s="78" t="s">
        <v>138</v>
      </c>
      <c r="I388" s="20" t="s">
        <v>139</v>
      </c>
      <c r="J388" s="78" t="s">
        <v>76</v>
      </c>
      <c r="K388" s="78" t="s">
        <v>82</v>
      </c>
      <c r="L388" s="78" t="s">
        <v>109</v>
      </c>
      <c r="M388" s="78" t="s">
        <v>80</v>
      </c>
      <c r="N388" s="78" t="s">
        <v>67</v>
      </c>
      <c r="O388" s="45" t="s">
        <v>114</v>
      </c>
      <c r="P388" s="79" t="s">
        <v>115</v>
      </c>
      <c r="Q388" s="79" t="s">
        <v>60</v>
      </c>
      <c r="R388" s="79" t="s">
        <v>109</v>
      </c>
    </row>
    <row r="389">
      <c r="A389" s="12"/>
      <c r="B389" s="80" t="s">
        <v>117</v>
      </c>
      <c r="C389" s="87">
        <v>31.0</v>
      </c>
      <c r="D389" s="86">
        <v>0.6479166666666667</v>
      </c>
      <c r="E389" s="88">
        <v>0.02731296772</v>
      </c>
      <c r="F389" s="89">
        <f t="shared" ref="F389:F400" si="241">$E$387*E389</f>
        <v>1574.114016</v>
      </c>
      <c r="G389" s="81">
        <v>5726.0</v>
      </c>
      <c r="H389" s="81">
        <f t="shared" ref="H389:H400" si="242">G389-F389</f>
        <v>4151.885984</v>
      </c>
      <c r="I389" s="25">
        <f t="shared" ref="I389:I400" si="243">D389*G389*(1+$I$387)</f>
        <v>4195.32265</v>
      </c>
      <c r="J389" s="64">
        <f>C389*'Rate Codes'!$D$7</f>
        <v>53.490035</v>
      </c>
      <c r="K389" s="25">
        <f>I389*'Rate Codes'!$D$8</f>
        <v>54.34201429</v>
      </c>
      <c r="L389" s="81">
        <f t="shared" ref="L389:L400" si="244">SUM(J389:K389)</f>
        <v>107.8320493</v>
      </c>
      <c r="M389" s="66">
        <f>I389*'Rate Codes'!$D$8</f>
        <v>54.34201429</v>
      </c>
      <c r="N389" s="67">
        <f>(H389)*'Billing Rate'!$B$1</f>
        <v>282.3282469</v>
      </c>
      <c r="O389" s="25">
        <f t="shared" ref="O389:O401" si="245">L389+M389</f>
        <v>162.1740636</v>
      </c>
      <c r="P389" s="81">
        <f t="shared" ref="P389:P400" si="246">N389+L389+M389</f>
        <v>444.5023105</v>
      </c>
      <c r="Q389" s="25">
        <f t="shared" ref="Q389:Q400" si="247">(IF(N389&gt;0,N389,0)+O389)*0.05</f>
        <v>22.22511552</v>
      </c>
      <c r="R389" s="81">
        <f t="shared" ref="R389:R400" si="248">P389+Q389</f>
        <v>466.727426</v>
      </c>
    </row>
    <row r="390">
      <c r="A390" s="12"/>
      <c r="B390" s="80" t="s">
        <v>118</v>
      </c>
      <c r="C390" s="87">
        <v>28.0</v>
      </c>
      <c r="D390" s="86">
        <v>0.5868041666666667</v>
      </c>
      <c r="E390" s="88">
        <v>0.04620731865</v>
      </c>
      <c r="F390" s="89">
        <f t="shared" si="241"/>
        <v>2663.042284</v>
      </c>
      <c r="G390" s="81">
        <v>5279.0</v>
      </c>
      <c r="H390" s="81">
        <f t="shared" si="242"/>
        <v>2615.957716</v>
      </c>
      <c r="I390" s="25">
        <f t="shared" si="243"/>
        <v>3502.996653</v>
      </c>
      <c r="J390" s="64">
        <f>C390*'Rate Codes'!$D$7</f>
        <v>48.31358</v>
      </c>
      <c r="K390" s="25">
        <f>I390*'Rate Codes'!$D$8</f>
        <v>45.37431565</v>
      </c>
      <c r="L390" s="81">
        <f t="shared" si="244"/>
        <v>93.68789565</v>
      </c>
      <c r="M390" s="66">
        <f>I390*'Rate Codes'!$D$8</f>
        <v>45.37431565</v>
      </c>
      <c r="N390" s="67">
        <f>(H390)*'Billing Rate'!$B$1</f>
        <v>177.8851247</v>
      </c>
      <c r="O390" s="25">
        <f t="shared" si="245"/>
        <v>139.0622113</v>
      </c>
      <c r="P390" s="81">
        <f t="shared" si="246"/>
        <v>316.947336</v>
      </c>
      <c r="Q390" s="25">
        <f t="shared" si="247"/>
        <v>15.8473668</v>
      </c>
      <c r="R390" s="81">
        <f t="shared" si="248"/>
        <v>332.7947028</v>
      </c>
    </row>
    <row r="391">
      <c r="A391" s="12"/>
      <c r="B391" s="80" t="s">
        <v>119</v>
      </c>
      <c r="C391" s="87">
        <v>31.0</v>
      </c>
      <c r="D391" s="86">
        <v>0.5083333333333333</v>
      </c>
      <c r="E391" s="88">
        <v>0.08500831624</v>
      </c>
      <c r="F391" s="89">
        <f t="shared" si="241"/>
        <v>4899.239931</v>
      </c>
      <c r="G391" s="81">
        <v>4991.0</v>
      </c>
      <c r="H391" s="81">
        <f t="shared" si="242"/>
        <v>91.76006896</v>
      </c>
      <c r="I391" s="25">
        <f t="shared" si="243"/>
        <v>2869.003185</v>
      </c>
      <c r="J391" s="64">
        <f>C391*'Rate Codes'!$D$7</f>
        <v>53.490035</v>
      </c>
      <c r="K391" s="25">
        <f>I391*'Rate Codes'!$D$8</f>
        <v>37.16219825</v>
      </c>
      <c r="L391" s="81">
        <f t="shared" si="244"/>
        <v>90.65223325</v>
      </c>
      <c r="M391" s="66">
        <f>I391*'Rate Codes'!$D$8</f>
        <v>37.16219825</v>
      </c>
      <c r="N391" s="67">
        <f>(H391)*'Billing Rate'!$B$1</f>
        <v>6.239684689</v>
      </c>
      <c r="O391" s="25">
        <f t="shared" si="245"/>
        <v>127.8144315</v>
      </c>
      <c r="P391" s="81">
        <f t="shared" si="246"/>
        <v>134.0541162</v>
      </c>
      <c r="Q391" s="25">
        <f t="shared" si="247"/>
        <v>6.702705809</v>
      </c>
      <c r="R391" s="81">
        <f t="shared" si="248"/>
        <v>140.756822</v>
      </c>
    </row>
    <row r="392">
      <c r="A392" s="12"/>
      <c r="B392" s="80" t="s">
        <v>120</v>
      </c>
      <c r="C392" s="87">
        <v>30.0</v>
      </c>
      <c r="D392" s="86">
        <v>0.425</v>
      </c>
      <c r="E392" s="88">
        <v>0.108773175</v>
      </c>
      <c r="F392" s="89">
        <f t="shared" si="241"/>
        <v>6268.867635</v>
      </c>
      <c r="G392" s="81">
        <v>4952.0</v>
      </c>
      <c r="H392" s="81">
        <f t="shared" si="242"/>
        <v>-1316.867635</v>
      </c>
      <c r="I392" s="25">
        <f t="shared" si="243"/>
        <v>2379.931392</v>
      </c>
      <c r="J392" s="64">
        <f>C392*'Rate Codes'!$D$7</f>
        <v>51.76455</v>
      </c>
      <c r="K392" s="25">
        <f>I392*'Rate Codes'!$D$8</f>
        <v>30.82725132</v>
      </c>
      <c r="L392" s="81">
        <f t="shared" si="244"/>
        <v>82.59180132</v>
      </c>
      <c r="M392" s="66">
        <f>I392*'Rate Codes'!$D$8</f>
        <v>30.82725132</v>
      </c>
      <c r="N392" s="67">
        <f>(H392)*'Billing Rate'!$B$1</f>
        <v>-89.54699918</v>
      </c>
      <c r="O392" s="25">
        <f t="shared" si="245"/>
        <v>113.4190526</v>
      </c>
      <c r="P392" s="81">
        <f t="shared" si="246"/>
        <v>23.87205346</v>
      </c>
      <c r="Q392" s="25">
        <f t="shared" si="247"/>
        <v>5.670952632</v>
      </c>
      <c r="R392" s="81">
        <f t="shared" si="248"/>
        <v>29.54300609</v>
      </c>
    </row>
    <row r="393">
      <c r="A393" s="12"/>
      <c r="B393" s="80" t="s">
        <v>98</v>
      </c>
      <c r="C393" s="87">
        <v>31.0</v>
      </c>
      <c r="D393" s="86">
        <v>0.35277916666666664</v>
      </c>
      <c r="E393" s="88">
        <v>0.1281742617</v>
      </c>
      <c r="F393" s="89">
        <f t="shared" si="241"/>
        <v>7387.000341</v>
      </c>
      <c r="G393" s="81">
        <v>5559.0</v>
      </c>
      <c r="H393" s="81">
        <f t="shared" si="242"/>
        <v>-1828.000341</v>
      </c>
      <c r="I393" s="25">
        <f t="shared" si="243"/>
        <v>2217.65751</v>
      </c>
      <c r="J393" s="64">
        <f>C393*'Rate Codes'!$D$7</f>
        <v>53.490035</v>
      </c>
      <c r="K393" s="25">
        <f>I393*'Rate Codes'!$D$8</f>
        <v>28.72531773</v>
      </c>
      <c r="L393" s="81">
        <f t="shared" si="244"/>
        <v>82.21535273</v>
      </c>
      <c r="M393" s="66">
        <f>I393*'Rate Codes'!$D$8</f>
        <v>28.72531773</v>
      </c>
      <c r="N393" s="67">
        <f>(H393)*'Billing Rate'!$B$1</f>
        <v>-124.3040232</v>
      </c>
      <c r="O393" s="25">
        <f t="shared" si="245"/>
        <v>110.9406705</v>
      </c>
      <c r="P393" s="81">
        <f t="shared" si="246"/>
        <v>-13.36335274</v>
      </c>
      <c r="Q393" s="25">
        <f t="shared" si="247"/>
        <v>5.547033523</v>
      </c>
      <c r="R393" s="81">
        <f t="shared" si="248"/>
        <v>-7.816319213</v>
      </c>
    </row>
    <row r="394">
      <c r="A394" s="12"/>
      <c r="B394" s="80" t="s">
        <v>121</v>
      </c>
      <c r="C394" s="87">
        <v>30.0</v>
      </c>
      <c r="D394" s="86">
        <v>0.31388750000000004</v>
      </c>
      <c r="E394" s="88">
        <v>0.1254860808</v>
      </c>
      <c r="F394" s="89">
        <f t="shared" si="241"/>
        <v>7232.073814</v>
      </c>
      <c r="G394" s="81">
        <v>4964.0</v>
      </c>
      <c r="H394" s="81">
        <f t="shared" si="242"/>
        <v>-2268.073814</v>
      </c>
      <c r="I394" s="25">
        <f t="shared" si="243"/>
        <v>1761.978746</v>
      </c>
      <c r="J394" s="64">
        <f>C394*'Rate Codes'!$D$7</f>
        <v>51.76455</v>
      </c>
      <c r="K394" s="25">
        <f>I394*'Rate Codes'!$D$8</f>
        <v>22.82291069</v>
      </c>
      <c r="L394" s="81">
        <f t="shared" si="244"/>
        <v>74.58746069</v>
      </c>
      <c r="M394" s="66">
        <f>I394*'Rate Codes'!$D$8</f>
        <v>22.82291069</v>
      </c>
      <c r="N394" s="67">
        <f>(H394)*'Billing Rate'!$B$1</f>
        <v>-154.2290193</v>
      </c>
      <c r="O394" s="25">
        <f t="shared" si="245"/>
        <v>97.41037139</v>
      </c>
      <c r="P394" s="81">
        <f t="shared" si="246"/>
        <v>-56.81864796</v>
      </c>
      <c r="Q394" s="25">
        <f t="shared" si="247"/>
        <v>4.870518569</v>
      </c>
      <c r="R394" s="81">
        <f t="shared" si="248"/>
        <v>-51.94812939</v>
      </c>
    </row>
    <row r="395">
      <c r="A395" s="12"/>
      <c r="B395" s="80" t="s">
        <v>122</v>
      </c>
      <c r="C395" s="87">
        <v>31.0</v>
      </c>
      <c r="D395" s="86">
        <v>0.33125</v>
      </c>
      <c r="E395" s="88">
        <v>0.1449493112</v>
      </c>
      <c r="F395" s="89">
        <f t="shared" si="241"/>
        <v>8353.788015</v>
      </c>
      <c r="G395" s="81">
        <v>6634.0</v>
      </c>
      <c r="H395" s="81">
        <f t="shared" si="242"/>
        <v>-1719.788015</v>
      </c>
      <c r="I395" s="25">
        <f t="shared" si="243"/>
        <v>2484.999042</v>
      </c>
      <c r="J395" s="64">
        <f>C395*'Rate Codes'!$D$7</f>
        <v>53.490035</v>
      </c>
      <c r="K395" s="25">
        <f>I395*'Rate Codes'!$D$8</f>
        <v>32.18819259</v>
      </c>
      <c r="L395" s="81">
        <f t="shared" si="244"/>
        <v>85.67822759</v>
      </c>
      <c r="M395" s="66">
        <f>I395*'Rate Codes'!$D$8</f>
        <v>32.18819259</v>
      </c>
      <c r="N395" s="67">
        <f>(H395)*'Billing Rate'!$B$1</f>
        <v>-116.945585</v>
      </c>
      <c r="O395" s="25">
        <f t="shared" si="245"/>
        <v>117.8664202</v>
      </c>
      <c r="P395" s="81">
        <f t="shared" si="246"/>
        <v>0.9208351348</v>
      </c>
      <c r="Q395" s="25">
        <f t="shared" si="247"/>
        <v>5.893321009</v>
      </c>
      <c r="R395" s="81">
        <f t="shared" si="248"/>
        <v>6.814156144</v>
      </c>
    </row>
    <row r="396">
      <c r="A396" s="12"/>
      <c r="B396" s="80" t="s">
        <v>123</v>
      </c>
      <c r="C396" s="87">
        <v>31.0</v>
      </c>
      <c r="D396" s="86">
        <v>0.3951375</v>
      </c>
      <c r="E396" s="88">
        <v>0.1246952409</v>
      </c>
      <c r="F396" s="89">
        <f t="shared" si="241"/>
        <v>7186.495751</v>
      </c>
      <c r="G396" s="81">
        <v>5909.0</v>
      </c>
      <c r="H396" s="81">
        <f t="shared" si="242"/>
        <v>-1277.495751</v>
      </c>
      <c r="I396" s="25">
        <f t="shared" si="243"/>
        <v>2640.323306</v>
      </c>
      <c r="J396" s="64">
        <f>C396*'Rate Codes'!$D$7</f>
        <v>53.490035</v>
      </c>
      <c r="K396" s="25">
        <f>I396*'Rate Codes'!$D$8</f>
        <v>34.20010778</v>
      </c>
      <c r="L396" s="81">
        <f t="shared" si="244"/>
        <v>87.69014278</v>
      </c>
      <c r="M396" s="66">
        <f>I396*'Rate Codes'!$D$8</f>
        <v>34.20010778</v>
      </c>
      <c r="N396" s="67">
        <f>(H396)*'Billing Rate'!$B$1</f>
        <v>-86.86971104</v>
      </c>
      <c r="O396" s="25">
        <f t="shared" si="245"/>
        <v>121.8902506</v>
      </c>
      <c r="P396" s="81">
        <f t="shared" si="246"/>
        <v>35.02053952</v>
      </c>
      <c r="Q396" s="25">
        <f t="shared" si="247"/>
        <v>6.094512528</v>
      </c>
      <c r="R396" s="81">
        <f t="shared" si="248"/>
        <v>41.11505205</v>
      </c>
    </row>
    <row r="397">
      <c r="A397" s="12"/>
      <c r="B397" s="80" t="s">
        <v>124</v>
      </c>
      <c r="C397" s="87">
        <v>30.0</v>
      </c>
      <c r="D397" s="86">
        <v>0.4756958333333334</v>
      </c>
      <c r="E397" s="88">
        <v>0.09825803101</v>
      </c>
      <c r="F397" s="89">
        <f t="shared" si="241"/>
        <v>5662.853828</v>
      </c>
      <c r="G397" s="81">
        <v>5270.0</v>
      </c>
      <c r="H397" s="81">
        <f t="shared" si="242"/>
        <v>-392.8538284</v>
      </c>
      <c r="I397" s="25">
        <f t="shared" si="243"/>
        <v>2834.881006</v>
      </c>
      <c r="J397" s="64">
        <f>C397*'Rate Codes'!$D$7</f>
        <v>51.76455</v>
      </c>
      <c r="K397" s="25">
        <f>I397*'Rate Codes'!$D$8</f>
        <v>36.72021367</v>
      </c>
      <c r="L397" s="81">
        <f t="shared" si="244"/>
        <v>88.48476367</v>
      </c>
      <c r="M397" s="66">
        <f>I397*'Rate Codes'!$D$8</f>
        <v>36.72021367</v>
      </c>
      <c r="N397" s="67">
        <f>(H397)*'Billing Rate'!$B$1</f>
        <v>-26.71406033</v>
      </c>
      <c r="O397" s="25">
        <f t="shared" si="245"/>
        <v>125.2049773</v>
      </c>
      <c r="P397" s="81">
        <f t="shared" si="246"/>
        <v>98.490917</v>
      </c>
      <c r="Q397" s="25">
        <f t="shared" si="247"/>
        <v>6.260248867</v>
      </c>
      <c r="R397" s="81">
        <f t="shared" si="248"/>
        <v>104.7511659</v>
      </c>
    </row>
    <row r="398">
      <c r="A398" s="12"/>
      <c r="B398" s="80" t="s">
        <v>125</v>
      </c>
      <c r="C398" s="87">
        <v>31.0</v>
      </c>
      <c r="D398" s="86">
        <v>0.5590291666666667</v>
      </c>
      <c r="E398" s="88">
        <v>0.06840443866</v>
      </c>
      <c r="F398" s="89">
        <f t="shared" si="241"/>
        <v>3942.317319</v>
      </c>
      <c r="G398" s="81">
        <v>5946.0</v>
      </c>
      <c r="H398" s="81">
        <f t="shared" si="242"/>
        <v>2003.682681</v>
      </c>
      <c r="I398" s="25">
        <f t="shared" si="243"/>
        <v>3758.843495</v>
      </c>
      <c r="J398" s="64">
        <f>C398*'Rate Codes'!$D$7</f>
        <v>53.490035</v>
      </c>
      <c r="K398" s="25">
        <f>I398*'Rate Codes'!$D$8</f>
        <v>48.68829979</v>
      </c>
      <c r="L398" s="81">
        <f t="shared" si="244"/>
        <v>102.1783348</v>
      </c>
      <c r="M398" s="66">
        <f>I398*'Rate Codes'!$D$8</f>
        <v>48.68829979</v>
      </c>
      <c r="N398" s="67">
        <f>(H398)*'Billing Rate'!$B$1</f>
        <v>136.2504223</v>
      </c>
      <c r="O398" s="25">
        <f t="shared" si="245"/>
        <v>150.8666346</v>
      </c>
      <c r="P398" s="81">
        <f t="shared" si="246"/>
        <v>287.1170569</v>
      </c>
      <c r="Q398" s="25">
        <f t="shared" si="247"/>
        <v>14.35585285</v>
      </c>
      <c r="R398" s="81">
        <f t="shared" si="248"/>
        <v>301.4729098</v>
      </c>
    </row>
    <row r="399">
      <c r="A399" s="12"/>
      <c r="B399" s="80" t="s">
        <v>126</v>
      </c>
      <c r="C399" s="87">
        <v>30.0</v>
      </c>
      <c r="D399" s="86">
        <v>0.63125</v>
      </c>
      <c r="E399" s="88">
        <v>0.0271408052</v>
      </c>
      <c r="F399" s="89">
        <f t="shared" si="241"/>
        <v>1564.191864</v>
      </c>
      <c r="G399" s="81">
        <v>5587.0</v>
      </c>
      <c r="H399" s="81">
        <f t="shared" si="242"/>
        <v>4022.808136</v>
      </c>
      <c r="I399" s="25">
        <f t="shared" si="243"/>
        <v>3988.181678</v>
      </c>
      <c r="J399" s="64">
        <f>C399*'Rate Codes'!$D$7</f>
        <v>51.76455</v>
      </c>
      <c r="K399" s="25">
        <f>I399*'Rate Codes'!$D$8</f>
        <v>51.65891727</v>
      </c>
      <c r="L399" s="81">
        <f t="shared" si="244"/>
        <v>103.4234673</v>
      </c>
      <c r="M399" s="66">
        <f>I399*'Rate Codes'!$D$8</f>
        <v>51.65891727</v>
      </c>
      <c r="N399" s="67">
        <f>(H399)*'Billing Rate'!$B$1</f>
        <v>273.5509533</v>
      </c>
      <c r="O399" s="25">
        <f t="shared" si="245"/>
        <v>155.0823845</v>
      </c>
      <c r="P399" s="81">
        <f t="shared" si="246"/>
        <v>428.6333378</v>
      </c>
      <c r="Q399" s="25">
        <f t="shared" si="247"/>
        <v>21.43166689</v>
      </c>
      <c r="R399" s="81">
        <f t="shared" si="248"/>
        <v>450.0650047</v>
      </c>
    </row>
    <row r="400">
      <c r="A400" s="12"/>
      <c r="B400" s="80" t="s">
        <v>127</v>
      </c>
      <c r="C400" s="87">
        <v>31.0</v>
      </c>
      <c r="D400" s="86">
        <v>0.6680541666666667</v>
      </c>
      <c r="E400" s="88">
        <v>0.01559005293</v>
      </c>
      <c r="F400" s="89">
        <f t="shared" si="241"/>
        <v>898.4933854</v>
      </c>
      <c r="G400" s="81">
        <v>5490.0</v>
      </c>
      <c r="H400" s="81">
        <f t="shared" si="242"/>
        <v>4591.506615</v>
      </c>
      <c r="I400" s="25">
        <f t="shared" si="243"/>
        <v>4147.428359</v>
      </c>
      <c r="J400" s="64">
        <f>C400*'Rate Codes'!$D$7</f>
        <v>53.490035</v>
      </c>
      <c r="K400" s="25">
        <f>I400*'Rate Codes'!$D$8</f>
        <v>53.72163954</v>
      </c>
      <c r="L400" s="81">
        <f t="shared" si="244"/>
        <v>107.2116745</v>
      </c>
      <c r="M400" s="66">
        <f>I400*'Rate Codes'!$D$8</f>
        <v>53.72163954</v>
      </c>
      <c r="N400" s="67">
        <f>(H400)*'Billing Rate'!$B$1</f>
        <v>312.2224498</v>
      </c>
      <c r="O400" s="25">
        <f t="shared" si="245"/>
        <v>160.9333141</v>
      </c>
      <c r="P400" s="81">
        <f t="shared" si="246"/>
        <v>473.1557639</v>
      </c>
      <c r="Q400" s="25">
        <f t="shared" si="247"/>
        <v>23.65778819</v>
      </c>
      <c r="R400" s="81">
        <f t="shared" si="248"/>
        <v>496.8135521</v>
      </c>
    </row>
    <row r="401">
      <c r="A401" s="12"/>
      <c r="B401" s="77" t="s">
        <v>109</v>
      </c>
      <c r="C401" s="82"/>
      <c r="D401" s="83"/>
      <c r="E401" s="83">
        <f t="shared" ref="E401:N401" si="249">SUM(E389:E400)</f>
        <v>1</v>
      </c>
      <c r="F401" s="84">
        <f t="shared" si="249"/>
        <v>57632.47818</v>
      </c>
      <c r="G401" s="85">
        <f t="shared" si="249"/>
        <v>66307</v>
      </c>
      <c r="H401" s="85">
        <f t="shared" si="249"/>
        <v>8674.521817</v>
      </c>
      <c r="I401" s="48">
        <f t="shared" si="249"/>
        <v>36781.54702</v>
      </c>
      <c r="J401" s="85">
        <f t="shared" si="249"/>
        <v>629.802025</v>
      </c>
      <c r="K401" s="85">
        <f t="shared" si="249"/>
        <v>476.4313786</v>
      </c>
      <c r="L401" s="85">
        <f t="shared" si="249"/>
        <v>1106.233404</v>
      </c>
      <c r="M401" s="85">
        <f t="shared" si="249"/>
        <v>476.4313786</v>
      </c>
      <c r="N401" s="85">
        <f t="shared" si="249"/>
        <v>589.8674835</v>
      </c>
      <c r="O401" s="48">
        <f t="shared" si="245"/>
        <v>1582.664782</v>
      </c>
      <c r="P401" s="85">
        <f t="shared" ref="P401:R401" si="250">SUM(P389:P400)</f>
        <v>2172.532266</v>
      </c>
      <c r="Q401" s="85">
        <f t="shared" si="250"/>
        <v>138.5570832</v>
      </c>
      <c r="R401" s="85">
        <f t="shared" si="250"/>
        <v>2311.089349</v>
      </c>
    </row>
  </sheetData>
  <mergeCells count="25">
    <mergeCell ref="J3:L3"/>
    <mergeCell ref="J19:L19"/>
    <mergeCell ref="J35:L35"/>
    <mergeCell ref="J51:L51"/>
    <mergeCell ref="J67:L67"/>
    <mergeCell ref="J83:L83"/>
    <mergeCell ref="J99:L99"/>
    <mergeCell ref="J115:L115"/>
    <mergeCell ref="J131:L131"/>
    <mergeCell ref="J147:L147"/>
    <mergeCell ref="J163:L163"/>
    <mergeCell ref="J179:L179"/>
    <mergeCell ref="J195:L195"/>
    <mergeCell ref="J211:L211"/>
    <mergeCell ref="J339:L339"/>
    <mergeCell ref="J355:L355"/>
    <mergeCell ref="J371:L371"/>
    <mergeCell ref="J387:L387"/>
    <mergeCell ref="J227:L227"/>
    <mergeCell ref="J243:L243"/>
    <mergeCell ref="J259:L259"/>
    <mergeCell ref="J275:L275"/>
    <mergeCell ref="J291:L291"/>
    <mergeCell ref="J307:L307"/>
    <mergeCell ref="J323:L32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6" max="6" width="11.0"/>
    <col customWidth="1" min="14" max="14" width="15.63"/>
  </cols>
  <sheetData>
    <row r="1">
      <c r="A1" s="1" t="s">
        <v>44</v>
      </c>
      <c r="B1" s="1" t="s">
        <v>128</v>
      </c>
      <c r="C1" s="1"/>
      <c r="D1" s="1"/>
      <c r="E1" s="1">
        <v>65000.0</v>
      </c>
      <c r="G1" s="1" t="s">
        <v>129</v>
      </c>
      <c r="H1" s="6">
        <v>0.005</v>
      </c>
      <c r="J1" s="6">
        <v>0.3</v>
      </c>
      <c r="O1" s="1" t="s">
        <v>130</v>
      </c>
    </row>
    <row r="2">
      <c r="O2" s="1" t="s">
        <v>131</v>
      </c>
    </row>
    <row r="3">
      <c r="A3" s="1">
        <v>0.0</v>
      </c>
      <c r="B3" s="1" t="s">
        <v>128</v>
      </c>
      <c r="C3" s="1"/>
      <c r="D3" s="1"/>
      <c r="E3" s="1">
        <f>$E$1* POWER((1 -$H$1),A3)</f>
        <v>65000</v>
      </c>
      <c r="F3" s="1" t="s">
        <v>132</v>
      </c>
      <c r="G3" s="8">
        <f>E3/G17</f>
        <v>0.9802886573</v>
      </c>
      <c r="H3" s="1" t="s">
        <v>133</v>
      </c>
      <c r="I3" s="6">
        <f>1-G3</f>
        <v>0.01971134269</v>
      </c>
      <c r="J3" s="51" t="s">
        <v>74</v>
      </c>
      <c r="K3" s="31"/>
      <c r="L3" s="32"/>
      <c r="M3" s="52" t="s">
        <v>78</v>
      </c>
    </row>
    <row r="4">
      <c r="A4" s="41"/>
      <c r="B4" s="44" t="s">
        <v>83</v>
      </c>
      <c r="C4" s="20" t="s">
        <v>88</v>
      </c>
      <c r="D4" s="44" t="s">
        <v>87</v>
      </c>
      <c r="E4" s="44" t="s">
        <v>134</v>
      </c>
      <c r="F4" s="44" t="s">
        <v>135</v>
      </c>
      <c r="G4" s="20" t="s">
        <v>89</v>
      </c>
      <c r="H4" s="20" t="s">
        <v>138</v>
      </c>
      <c r="I4" s="20" t="s">
        <v>139</v>
      </c>
      <c r="J4" s="54" t="s">
        <v>76</v>
      </c>
      <c r="K4" s="20" t="s">
        <v>82</v>
      </c>
      <c r="L4" s="55" t="s">
        <v>109</v>
      </c>
      <c r="M4" s="56" t="s">
        <v>80</v>
      </c>
      <c r="N4" s="57" t="s">
        <v>67</v>
      </c>
      <c r="O4" s="45" t="s">
        <v>114</v>
      </c>
      <c r="P4" s="45" t="s">
        <v>115</v>
      </c>
      <c r="Q4" s="45" t="s">
        <v>60</v>
      </c>
      <c r="R4" s="45" t="s">
        <v>109</v>
      </c>
    </row>
    <row r="5">
      <c r="A5" s="58"/>
      <c r="B5" s="46" t="s">
        <v>117</v>
      </c>
      <c r="C5" s="24">
        <v>31.0</v>
      </c>
      <c r="D5" s="86">
        <v>0.6479166666666667</v>
      </c>
      <c r="E5" s="59">
        <v>0.02731296772</v>
      </c>
      <c r="F5" s="60">
        <f t="shared" ref="F5:F16" si="1">E$3*E5</f>
        <v>1775.342902</v>
      </c>
      <c r="G5" s="25">
        <v>5726.0</v>
      </c>
      <c r="H5" s="25">
        <f t="shared" ref="H5:H16" si="2">G5-F5</f>
        <v>3950.657098</v>
      </c>
      <c r="I5" s="25">
        <f t="shared" ref="I5:I16" si="3">D5*G5*(1+$I$3)</f>
        <v>3783.09934</v>
      </c>
      <c r="J5" s="64">
        <f>C5*'Rate Codes'!$D$7</f>
        <v>53.490035</v>
      </c>
      <c r="K5" s="25">
        <f>I5*'Rate Codes'!$D$8</f>
        <v>49.00248575</v>
      </c>
      <c r="L5" s="65">
        <f t="shared" ref="L5:L16" si="4">SUM(J5:K5)</f>
        <v>102.4925207</v>
      </c>
      <c r="M5" s="66">
        <f>I5*'Rate Codes'!$D$8</f>
        <v>49.00248575</v>
      </c>
      <c r="N5" s="67">
        <f t="shared" ref="N5:N16" si="5">H5*IF(D5&gt;51%,0.0689,0.33)</f>
        <v>272.2002741</v>
      </c>
      <c r="O5" s="25">
        <f t="shared" ref="O5:O17" si="6">L5+M5</f>
        <v>151.4950065</v>
      </c>
      <c r="P5" s="25">
        <f t="shared" ref="P5:P16" si="7">N5+L5+M5</f>
        <v>423.6952806</v>
      </c>
      <c r="Q5" s="25">
        <f t="shared" ref="Q5:Q16" si="8">(IF(N5&gt;0,N5,0)+O5)*0.05</f>
        <v>21.18476403</v>
      </c>
      <c r="R5" s="25">
        <f t="shared" ref="R5:R16" si="9">P5+Q5</f>
        <v>444.8800446</v>
      </c>
      <c r="S5" s="8"/>
      <c r="U5" s="8"/>
    </row>
    <row r="6">
      <c r="A6" s="58"/>
      <c r="B6" s="46" t="s">
        <v>118</v>
      </c>
      <c r="C6" s="24">
        <v>28.0</v>
      </c>
      <c r="D6" s="86">
        <v>0.5868041666666667</v>
      </c>
      <c r="E6" s="59">
        <v>0.04620731865</v>
      </c>
      <c r="F6" s="60">
        <f t="shared" si="1"/>
        <v>3003.475712</v>
      </c>
      <c r="G6" s="25">
        <v>5279.0</v>
      </c>
      <c r="H6" s="25">
        <f t="shared" si="2"/>
        <v>2275.524288</v>
      </c>
      <c r="I6" s="25">
        <f t="shared" si="3"/>
        <v>3158.799795</v>
      </c>
      <c r="J6" s="64">
        <f>C6*'Rate Codes'!$D$7</f>
        <v>48.31358</v>
      </c>
      <c r="K6" s="25">
        <f>I6*'Rate Codes'!$D$8</f>
        <v>40.91593374</v>
      </c>
      <c r="L6" s="65">
        <f t="shared" si="4"/>
        <v>89.22951374</v>
      </c>
      <c r="M6" s="66">
        <f>I6*'Rate Codes'!$D$8</f>
        <v>40.91593374</v>
      </c>
      <c r="N6" s="67">
        <f t="shared" si="5"/>
        <v>156.7836234</v>
      </c>
      <c r="O6" s="25">
        <f t="shared" si="6"/>
        <v>130.1454475</v>
      </c>
      <c r="P6" s="25">
        <f t="shared" si="7"/>
        <v>286.9290709</v>
      </c>
      <c r="Q6" s="25">
        <f t="shared" si="8"/>
        <v>14.34645355</v>
      </c>
      <c r="R6" s="25">
        <f t="shared" si="9"/>
        <v>301.2755245</v>
      </c>
      <c r="S6" s="8"/>
      <c r="U6" s="8"/>
    </row>
    <row r="7">
      <c r="A7" s="58"/>
      <c r="B7" s="46" t="s">
        <v>119</v>
      </c>
      <c r="C7" s="24">
        <v>31.0</v>
      </c>
      <c r="D7" s="86">
        <v>0.5083333333333333</v>
      </c>
      <c r="E7" s="59">
        <v>0.08500831624</v>
      </c>
      <c r="F7" s="60">
        <f t="shared" si="1"/>
        <v>5525.540556</v>
      </c>
      <c r="G7" s="25">
        <v>4991.0</v>
      </c>
      <c r="H7" s="25">
        <f t="shared" si="2"/>
        <v>-534.5405556</v>
      </c>
      <c r="I7" s="25">
        <f t="shared" si="3"/>
        <v>2587.10115</v>
      </c>
      <c r="J7" s="64">
        <f>C7*'Rate Codes'!$D$7</f>
        <v>53.490035</v>
      </c>
      <c r="K7" s="25">
        <f>I7*'Rate Codes'!$D$8</f>
        <v>33.5107212</v>
      </c>
      <c r="L7" s="65">
        <f t="shared" si="4"/>
        <v>87.0007562</v>
      </c>
      <c r="M7" s="66">
        <f>I7*'Rate Codes'!$D$8</f>
        <v>33.5107212</v>
      </c>
      <c r="N7" s="67">
        <f t="shared" si="5"/>
        <v>-176.3983833</v>
      </c>
      <c r="O7" s="25">
        <f t="shared" si="6"/>
        <v>120.5114774</v>
      </c>
      <c r="P7" s="25">
        <f t="shared" si="7"/>
        <v>-55.88690596</v>
      </c>
      <c r="Q7" s="25">
        <f t="shared" si="8"/>
        <v>6.02557387</v>
      </c>
      <c r="R7" s="25">
        <f t="shared" si="9"/>
        <v>-49.86133209</v>
      </c>
      <c r="S7" s="8"/>
      <c r="U7" s="8"/>
    </row>
    <row r="8">
      <c r="A8" s="58"/>
      <c r="B8" s="46" t="s">
        <v>120</v>
      </c>
      <c r="C8" s="24">
        <v>30.0</v>
      </c>
      <c r="D8" s="86">
        <v>0.425</v>
      </c>
      <c r="E8" s="59">
        <v>0.108773175</v>
      </c>
      <c r="F8" s="60">
        <f t="shared" si="1"/>
        <v>7070.256375</v>
      </c>
      <c r="G8" s="25">
        <v>4952.0</v>
      </c>
      <c r="H8" s="25">
        <f t="shared" si="2"/>
        <v>-2118.256375</v>
      </c>
      <c r="I8" s="25">
        <f t="shared" si="3"/>
        <v>2146.084492</v>
      </c>
      <c r="J8" s="64">
        <f>C8*'Rate Codes'!$D$7</f>
        <v>51.76455</v>
      </c>
      <c r="K8" s="25">
        <f>I8*'Rate Codes'!$D$8</f>
        <v>27.79823242</v>
      </c>
      <c r="L8" s="65">
        <f t="shared" si="4"/>
        <v>79.56278242</v>
      </c>
      <c r="M8" s="66">
        <f>I8*'Rate Codes'!$D$8</f>
        <v>27.79823242</v>
      </c>
      <c r="N8" s="67">
        <f t="shared" si="5"/>
        <v>-699.0246038</v>
      </c>
      <c r="O8" s="25">
        <f t="shared" si="6"/>
        <v>107.3610148</v>
      </c>
      <c r="P8" s="25">
        <f t="shared" si="7"/>
        <v>-591.6635889</v>
      </c>
      <c r="Q8" s="25">
        <f t="shared" si="8"/>
        <v>5.368050742</v>
      </c>
      <c r="R8" s="25">
        <f t="shared" si="9"/>
        <v>-586.2955382</v>
      </c>
      <c r="U8" s="8"/>
    </row>
    <row r="9">
      <c r="A9" s="58"/>
      <c r="B9" s="46" t="s">
        <v>98</v>
      </c>
      <c r="C9" s="24">
        <v>31.0</v>
      </c>
      <c r="D9" s="86">
        <v>0.35277916666666664</v>
      </c>
      <c r="E9" s="59">
        <v>0.1281742617</v>
      </c>
      <c r="F9" s="60">
        <f t="shared" si="1"/>
        <v>8331.327011</v>
      </c>
      <c r="G9" s="25">
        <v>5559.0</v>
      </c>
      <c r="H9" s="25">
        <f t="shared" si="2"/>
        <v>-2772.327011</v>
      </c>
      <c r="I9" s="25">
        <f t="shared" si="3"/>
        <v>1999.75529</v>
      </c>
      <c r="J9" s="64">
        <f>C9*'Rate Codes'!$D$7</f>
        <v>53.490035</v>
      </c>
      <c r="K9" s="25">
        <f>I9*'Rate Codes'!$D$8</f>
        <v>25.90283027</v>
      </c>
      <c r="L9" s="65">
        <f t="shared" si="4"/>
        <v>79.39286527</v>
      </c>
      <c r="M9" s="66">
        <f>I9*'Rate Codes'!$D$8</f>
        <v>25.90283027</v>
      </c>
      <c r="N9" s="67">
        <f t="shared" si="5"/>
        <v>-914.8679135</v>
      </c>
      <c r="O9" s="25">
        <f t="shared" si="6"/>
        <v>105.2956955</v>
      </c>
      <c r="P9" s="25">
        <f t="shared" si="7"/>
        <v>-809.5722179</v>
      </c>
      <c r="Q9" s="25">
        <f t="shared" si="8"/>
        <v>5.264784777</v>
      </c>
      <c r="R9" s="25">
        <f t="shared" si="9"/>
        <v>-804.3074332</v>
      </c>
      <c r="U9" s="8"/>
    </row>
    <row r="10">
      <c r="A10" s="58"/>
      <c r="B10" s="46" t="s">
        <v>121</v>
      </c>
      <c r="C10" s="24">
        <v>30.0</v>
      </c>
      <c r="D10" s="86">
        <v>0.31388750000000004</v>
      </c>
      <c r="E10" s="59">
        <v>0.1254860808</v>
      </c>
      <c r="F10" s="60">
        <f t="shared" si="1"/>
        <v>8156.595252</v>
      </c>
      <c r="G10" s="25">
        <v>4964.0</v>
      </c>
      <c r="H10" s="25">
        <f t="shared" si="2"/>
        <v>-3192.595252</v>
      </c>
      <c r="I10" s="25">
        <f t="shared" si="3"/>
        <v>1588.850533</v>
      </c>
      <c r="J10" s="64">
        <f>C10*'Rate Codes'!$D$7</f>
        <v>51.76455</v>
      </c>
      <c r="K10" s="25">
        <f>I10*'Rate Codes'!$D$8</f>
        <v>20.58038096</v>
      </c>
      <c r="L10" s="65">
        <f t="shared" si="4"/>
        <v>72.34493096</v>
      </c>
      <c r="M10" s="66">
        <f>I10*'Rate Codes'!$D$8</f>
        <v>20.58038096</v>
      </c>
      <c r="N10" s="67">
        <f t="shared" si="5"/>
        <v>-1053.556433</v>
      </c>
      <c r="O10" s="25">
        <f t="shared" si="6"/>
        <v>92.92531191</v>
      </c>
      <c r="P10" s="25">
        <f t="shared" si="7"/>
        <v>-960.6311212</v>
      </c>
      <c r="Q10" s="25">
        <f t="shared" si="8"/>
        <v>4.646265596</v>
      </c>
      <c r="R10" s="25">
        <f t="shared" si="9"/>
        <v>-955.9848557</v>
      </c>
      <c r="U10" s="8"/>
    </row>
    <row r="11">
      <c r="A11" s="58"/>
      <c r="B11" s="46" t="s">
        <v>122</v>
      </c>
      <c r="C11" s="24">
        <v>31.0</v>
      </c>
      <c r="D11" s="86">
        <v>0.33125</v>
      </c>
      <c r="E11" s="59">
        <v>0.1449493112</v>
      </c>
      <c r="F11" s="60">
        <f t="shared" si="1"/>
        <v>9421.705228</v>
      </c>
      <c r="G11" s="25">
        <v>6634.0</v>
      </c>
      <c r="H11" s="25">
        <f t="shared" si="2"/>
        <v>-2787.705228</v>
      </c>
      <c r="I11" s="25">
        <f t="shared" si="3"/>
        <v>2240.828422</v>
      </c>
      <c r="J11" s="64">
        <f>C11*'Rate Codes'!$D$7</f>
        <v>53.490035</v>
      </c>
      <c r="K11" s="25">
        <f>I11*'Rate Codes'!$D$8</f>
        <v>29.02545055</v>
      </c>
      <c r="L11" s="65">
        <f t="shared" si="4"/>
        <v>82.51548555</v>
      </c>
      <c r="M11" s="66">
        <f>I11*'Rate Codes'!$D$8</f>
        <v>29.02545055</v>
      </c>
      <c r="N11" s="67">
        <f t="shared" si="5"/>
        <v>-919.9427252</v>
      </c>
      <c r="O11" s="25">
        <f t="shared" si="6"/>
        <v>111.5409361</v>
      </c>
      <c r="P11" s="25">
        <f t="shared" si="7"/>
        <v>-808.4017891</v>
      </c>
      <c r="Q11" s="25">
        <f t="shared" si="8"/>
        <v>5.577046805</v>
      </c>
      <c r="R11" s="25">
        <f t="shared" si="9"/>
        <v>-802.8247423</v>
      </c>
      <c r="U11" s="8"/>
    </row>
    <row r="12">
      <c r="A12" s="58"/>
      <c r="B12" s="46" t="s">
        <v>123</v>
      </c>
      <c r="C12" s="24">
        <v>31.0</v>
      </c>
      <c r="D12" s="86">
        <v>0.3951375</v>
      </c>
      <c r="E12" s="59">
        <v>0.1246952409</v>
      </c>
      <c r="F12" s="60">
        <f t="shared" si="1"/>
        <v>8105.190659</v>
      </c>
      <c r="G12" s="25">
        <v>5909.0</v>
      </c>
      <c r="H12" s="25">
        <f t="shared" si="2"/>
        <v>-2196.190659</v>
      </c>
      <c r="I12" s="25">
        <f t="shared" si="3"/>
        <v>2380.890861</v>
      </c>
      <c r="J12" s="64">
        <f>C12*'Rate Codes'!$D$7</f>
        <v>53.490035</v>
      </c>
      <c r="K12" s="25">
        <f>I12*'Rate Codes'!$D$8</f>
        <v>30.83967932</v>
      </c>
      <c r="L12" s="65">
        <f t="shared" si="4"/>
        <v>84.32971432</v>
      </c>
      <c r="M12" s="66">
        <f>I12*'Rate Codes'!$D$8</f>
        <v>30.83967932</v>
      </c>
      <c r="N12" s="67">
        <f t="shared" si="5"/>
        <v>-724.7429173</v>
      </c>
      <c r="O12" s="25">
        <f t="shared" si="6"/>
        <v>115.1693936</v>
      </c>
      <c r="P12" s="25">
        <f t="shared" si="7"/>
        <v>-609.5735237</v>
      </c>
      <c r="Q12" s="25">
        <f t="shared" si="8"/>
        <v>5.758469682</v>
      </c>
      <c r="R12" s="25">
        <f t="shared" si="9"/>
        <v>-603.815054</v>
      </c>
      <c r="U12" s="8"/>
    </row>
    <row r="13">
      <c r="A13" s="58"/>
      <c r="B13" s="46" t="s">
        <v>124</v>
      </c>
      <c r="C13" s="24">
        <v>30.0</v>
      </c>
      <c r="D13" s="86">
        <v>0.4756958333333334</v>
      </c>
      <c r="E13" s="59">
        <v>0.09825803101</v>
      </c>
      <c r="F13" s="60">
        <f t="shared" si="1"/>
        <v>6386.772016</v>
      </c>
      <c r="G13" s="25">
        <v>5270.0</v>
      </c>
      <c r="H13" s="25">
        <f t="shared" si="2"/>
        <v>-1116.772016</v>
      </c>
      <c r="I13" s="25">
        <f t="shared" si="3"/>
        <v>2556.331743</v>
      </c>
      <c r="J13" s="64">
        <f>C13*'Rate Codes'!$D$7</f>
        <v>51.76455</v>
      </c>
      <c r="K13" s="25">
        <f>I13*'Rate Codes'!$D$8</f>
        <v>33.11216506</v>
      </c>
      <c r="L13" s="65">
        <f t="shared" si="4"/>
        <v>84.87671506</v>
      </c>
      <c r="M13" s="66">
        <f>I13*'Rate Codes'!$D$8</f>
        <v>33.11216506</v>
      </c>
      <c r="N13" s="67">
        <f t="shared" si="5"/>
        <v>-368.5347652</v>
      </c>
      <c r="O13" s="25">
        <f t="shared" si="6"/>
        <v>117.9888801</v>
      </c>
      <c r="P13" s="25">
        <f t="shared" si="7"/>
        <v>-250.545885</v>
      </c>
      <c r="Q13" s="25">
        <f t="shared" si="8"/>
        <v>5.899444006</v>
      </c>
      <c r="R13" s="25">
        <f t="shared" si="9"/>
        <v>-244.646441</v>
      </c>
      <c r="U13" s="8"/>
    </row>
    <row r="14">
      <c r="A14" s="58"/>
      <c r="B14" s="46" t="s">
        <v>125</v>
      </c>
      <c r="C14" s="24">
        <v>31.0</v>
      </c>
      <c r="D14" s="86">
        <v>0.5590291666666667</v>
      </c>
      <c r="E14" s="59">
        <v>0.06840443866</v>
      </c>
      <c r="F14" s="60">
        <f t="shared" si="1"/>
        <v>4446.288513</v>
      </c>
      <c r="G14" s="25">
        <v>5946.0</v>
      </c>
      <c r="H14" s="25">
        <f t="shared" si="2"/>
        <v>1499.711487</v>
      </c>
      <c r="I14" s="25">
        <f t="shared" si="3"/>
        <v>3389.50768</v>
      </c>
      <c r="J14" s="64">
        <f>C14*'Rate Codes'!$D$7</f>
        <v>53.490035</v>
      </c>
      <c r="K14" s="25">
        <f>I14*'Rate Codes'!$D$8</f>
        <v>43.90429298</v>
      </c>
      <c r="L14" s="65">
        <f t="shared" si="4"/>
        <v>97.39432798</v>
      </c>
      <c r="M14" s="66">
        <f>I14*'Rate Codes'!$D$8</f>
        <v>43.90429298</v>
      </c>
      <c r="N14" s="67">
        <f t="shared" si="5"/>
        <v>103.3301215</v>
      </c>
      <c r="O14" s="25">
        <f t="shared" si="6"/>
        <v>141.298621</v>
      </c>
      <c r="P14" s="25">
        <f t="shared" si="7"/>
        <v>244.6287424</v>
      </c>
      <c r="Q14" s="25">
        <f t="shared" si="8"/>
        <v>12.23143712</v>
      </c>
      <c r="R14" s="25">
        <f t="shared" si="9"/>
        <v>256.8601795</v>
      </c>
      <c r="U14" s="8"/>
    </row>
    <row r="15">
      <c r="A15" s="58"/>
      <c r="B15" s="46" t="s">
        <v>126</v>
      </c>
      <c r="C15" s="24">
        <v>30.0</v>
      </c>
      <c r="D15" s="86">
        <v>0.63125</v>
      </c>
      <c r="E15" s="59">
        <v>0.0271408052</v>
      </c>
      <c r="F15" s="60">
        <f t="shared" si="1"/>
        <v>1764.152338</v>
      </c>
      <c r="G15" s="25">
        <v>5587.0</v>
      </c>
      <c r="H15" s="25">
        <f t="shared" si="2"/>
        <v>3822.847662</v>
      </c>
      <c r="I15" s="25">
        <f t="shared" si="3"/>
        <v>3596.31159</v>
      </c>
      <c r="J15" s="64">
        <f>C15*'Rate Codes'!$D$7</f>
        <v>51.76455</v>
      </c>
      <c r="K15" s="25">
        <f>I15*'Rate Codes'!$D$8</f>
        <v>46.58302403</v>
      </c>
      <c r="L15" s="65">
        <f t="shared" si="4"/>
        <v>98.34757403</v>
      </c>
      <c r="M15" s="66">
        <f>I15*'Rate Codes'!$D$8</f>
        <v>46.58302403</v>
      </c>
      <c r="N15" s="67">
        <f t="shared" si="5"/>
        <v>263.3942039</v>
      </c>
      <c r="O15" s="25">
        <f t="shared" si="6"/>
        <v>144.9305981</v>
      </c>
      <c r="P15" s="25">
        <f t="shared" si="7"/>
        <v>408.324802</v>
      </c>
      <c r="Q15" s="25">
        <f t="shared" si="8"/>
        <v>20.4162401</v>
      </c>
      <c r="R15" s="25">
        <f t="shared" si="9"/>
        <v>428.7410421</v>
      </c>
      <c r="U15" s="8"/>
    </row>
    <row r="16">
      <c r="A16" s="58"/>
      <c r="B16" s="46" t="s">
        <v>127</v>
      </c>
      <c r="C16" s="24">
        <v>31.0</v>
      </c>
      <c r="D16" s="86">
        <v>0.6680541666666667</v>
      </c>
      <c r="E16" s="59">
        <v>0.01559005293</v>
      </c>
      <c r="F16" s="60">
        <f t="shared" si="1"/>
        <v>1013.35344</v>
      </c>
      <c r="G16" s="25">
        <v>5490.0</v>
      </c>
      <c r="H16" s="25">
        <f t="shared" si="2"/>
        <v>4476.64656</v>
      </c>
      <c r="I16" s="25">
        <f t="shared" si="3"/>
        <v>3739.911038</v>
      </c>
      <c r="J16" s="64">
        <f>C16*'Rate Codes'!$D$7</f>
        <v>53.490035</v>
      </c>
      <c r="K16" s="25">
        <f>I16*'Rate Codes'!$D$8</f>
        <v>48.44306767</v>
      </c>
      <c r="L16" s="65">
        <f t="shared" si="4"/>
        <v>101.9331027</v>
      </c>
      <c r="M16" s="66">
        <f>I16*'Rate Codes'!$D$8</f>
        <v>48.44306767</v>
      </c>
      <c r="N16" s="67">
        <f t="shared" si="5"/>
        <v>308.440948</v>
      </c>
      <c r="O16" s="25">
        <f t="shared" si="6"/>
        <v>150.3761703</v>
      </c>
      <c r="P16" s="25">
        <f t="shared" si="7"/>
        <v>458.8171183</v>
      </c>
      <c r="Q16" s="25">
        <f t="shared" si="8"/>
        <v>22.94085592</v>
      </c>
      <c r="R16" s="25">
        <f t="shared" si="9"/>
        <v>481.7579742</v>
      </c>
      <c r="U16" s="8"/>
    </row>
    <row r="17">
      <c r="A17" s="41"/>
      <c r="B17" s="44" t="s">
        <v>109</v>
      </c>
      <c r="C17" s="44"/>
      <c r="D17" s="44"/>
      <c r="E17" s="68">
        <f t="shared" ref="E17:N17" si="10">SUM(E5:E16)</f>
        <v>1</v>
      </c>
      <c r="F17" s="69">
        <f t="shared" si="10"/>
        <v>65000</v>
      </c>
      <c r="G17" s="48">
        <f t="shared" si="10"/>
        <v>66307</v>
      </c>
      <c r="H17" s="48">
        <f t="shared" si="10"/>
        <v>1306.999999</v>
      </c>
      <c r="I17" s="48">
        <f t="shared" si="10"/>
        <v>33167.47193</v>
      </c>
      <c r="J17" s="70">
        <f t="shared" si="10"/>
        <v>629.802025</v>
      </c>
      <c r="K17" s="71">
        <f t="shared" si="10"/>
        <v>429.6182639</v>
      </c>
      <c r="L17" s="72">
        <f t="shared" si="10"/>
        <v>1059.420289</v>
      </c>
      <c r="M17" s="73">
        <f t="shared" si="10"/>
        <v>429.6182639</v>
      </c>
      <c r="N17" s="74">
        <f t="shared" si="10"/>
        <v>-3752.918571</v>
      </c>
      <c r="O17" s="48">
        <f t="shared" si="6"/>
        <v>1489.038553</v>
      </c>
      <c r="P17" s="48">
        <f t="shared" ref="P17:R17" si="11">SUM(P5:P16)</f>
        <v>-2263.880018</v>
      </c>
      <c r="Q17" s="48">
        <f t="shared" si="11"/>
        <v>129.6593862</v>
      </c>
      <c r="R17" s="48">
        <f t="shared" si="11"/>
        <v>-2134.220632</v>
      </c>
    </row>
    <row r="19">
      <c r="A19" s="1">
        <v>1.0</v>
      </c>
      <c r="B19" s="1" t="s">
        <v>128</v>
      </c>
      <c r="C19" s="1"/>
      <c r="D19" s="1"/>
      <c r="E19" s="1">
        <f>$E$1* POWER((1 -$H$1),A19)</f>
        <v>64675</v>
      </c>
      <c r="F19" s="1" t="s">
        <v>132</v>
      </c>
      <c r="G19" s="8">
        <f>E19/G33</f>
        <v>0.975387214</v>
      </c>
      <c r="H19" s="1" t="s">
        <v>133</v>
      </c>
      <c r="I19" s="6">
        <f>1-G19</f>
        <v>0.02461278598</v>
      </c>
      <c r="J19" s="1" t="s">
        <v>74</v>
      </c>
      <c r="M19" s="1" t="s">
        <v>78</v>
      </c>
    </row>
    <row r="20">
      <c r="A20" s="41"/>
      <c r="B20" s="44" t="s">
        <v>83</v>
      </c>
      <c r="C20" s="20" t="s">
        <v>88</v>
      </c>
      <c r="D20" s="44" t="s">
        <v>87</v>
      </c>
      <c r="E20" s="44" t="s">
        <v>140</v>
      </c>
      <c r="F20" s="44" t="s">
        <v>135</v>
      </c>
      <c r="G20" s="20" t="s">
        <v>89</v>
      </c>
      <c r="H20" s="20" t="s">
        <v>138</v>
      </c>
      <c r="I20" s="20" t="s">
        <v>139</v>
      </c>
      <c r="J20" s="20" t="s">
        <v>76</v>
      </c>
      <c r="K20" s="20" t="s">
        <v>82</v>
      </c>
      <c r="L20" s="20" t="s">
        <v>109</v>
      </c>
      <c r="M20" s="20" t="s">
        <v>80</v>
      </c>
      <c r="N20" s="20" t="s">
        <v>67</v>
      </c>
      <c r="O20" s="45" t="s">
        <v>114</v>
      </c>
      <c r="P20" s="45" t="s">
        <v>115</v>
      </c>
      <c r="Q20" s="45" t="s">
        <v>60</v>
      </c>
      <c r="R20" s="45" t="s">
        <v>109</v>
      </c>
    </row>
    <row r="21">
      <c r="A21" s="75"/>
      <c r="B21" s="46" t="s">
        <v>117</v>
      </c>
      <c r="C21" s="24">
        <v>31.0</v>
      </c>
      <c r="D21" s="86">
        <v>0.6479166666666667</v>
      </c>
      <c r="E21" s="59">
        <v>0.02731296772</v>
      </c>
      <c r="F21" s="60">
        <f t="shared" ref="F21:F32" si="12">$E$19*E21</f>
        <v>1766.466187</v>
      </c>
      <c r="G21" s="25">
        <v>5726.0</v>
      </c>
      <c r="H21" s="25">
        <f t="shared" ref="H21:H32" si="13">G21-F21</f>
        <v>3959.533813</v>
      </c>
      <c r="I21" s="25">
        <f t="shared" ref="I21:I32" si="14">D21*G21*(1+$I$19)</f>
        <v>3801.283551</v>
      </c>
      <c r="J21" s="64">
        <f>C21*'Rate Codes'!$D$7</f>
        <v>53.490035</v>
      </c>
      <c r="K21" s="25">
        <f>I21*'Rate Codes'!$D$8</f>
        <v>49.23802584</v>
      </c>
      <c r="L21" s="65">
        <f t="shared" ref="L21:L32" si="15">SUM(J21:K21)</f>
        <v>102.7280608</v>
      </c>
      <c r="M21" s="66">
        <f>I21*'Rate Codes'!$D$8</f>
        <v>49.23802584</v>
      </c>
      <c r="N21" s="67">
        <f t="shared" ref="N21:N32" si="16">H21*IF(D21&gt;51%,0.0689,0.33)</f>
        <v>272.8118797</v>
      </c>
      <c r="O21" s="25">
        <f t="shared" ref="O21:O33" si="17">L21+M21</f>
        <v>151.9660867</v>
      </c>
      <c r="P21" s="25">
        <f t="shared" ref="P21:P32" si="18">N21+L21+M21</f>
        <v>424.7779664</v>
      </c>
      <c r="Q21" s="25">
        <f t="shared" ref="Q21:Q32" si="19">(IF(N21&gt;0,N21,0)+O21)*0.05</f>
        <v>21.23889832</v>
      </c>
      <c r="R21" s="25">
        <f t="shared" ref="R21:R32" si="20">P21+Q21</f>
        <v>446.0168647</v>
      </c>
    </row>
    <row r="22">
      <c r="A22" s="75"/>
      <c r="B22" s="46" t="s">
        <v>118</v>
      </c>
      <c r="C22" s="24">
        <v>28.0</v>
      </c>
      <c r="D22" s="86">
        <v>0.5868041666666667</v>
      </c>
      <c r="E22" s="59">
        <v>0.04620731865</v>
      </c>
      <c r="F22" s="60">
        <f t="shared" si="12"/>
        <v>2988.458334</v>
      </c>
      <c r="G22" s="25">
        <v>5279.0</v>
      </c>
      <c r="H22" s="25">
        <f t="shared" si="13"/>
        <v>2290.541666</v>
      </c>
      <c r="I22" s="25">
        <f t="shared" si="14"/>
        <v>3173.983188</v>
      </c>
      <c r="J22" s="64">
        <f>C22*'Rate Codes'!$D$7</f>
        <v>48.31358</v>
      </c>
      <c r="K22" s="25">
        <f>I22*'Rate Codes'!$D$8</f>
        <v>41.11260423</v>
      </c>
      <c r="L22" s="65">
        <f t="shared" si="15"/>
        <v>89.42618423</v>
      </c>
      <c r="M22" s="66">
        <f>I22*'Rate Codes'!$D$8</f>
        <v>41.11260423</v>
      </c>
      <c r="N22" s="67">
        <f t="shared" si="16"/>
        <v>157.8183208</v>
      </c>
      <c r="O22" s="25">
        <f t="shared" si="17"/>
        <v>130.5387885</v>
      </c>
      <c r="P22" s="25">
        <f t="shared" si="18"/>
        <v>288.3571093</v>
      </c>
      <c r="Q22" s="25">
        <f t="shared" si="19"/>
        <v>14.41785546</v>
      </c>
      <c r="R22" s="25">
        <f t="shared" si="20"/>
        <v>302.7749647</v>
      </c>
    </row>
    <row r="23">
      <c r="A23" s="75"/>
      <c r="B23" s="46" t="s">
        <v>119</v>
      </c>
      <c r="C23" s="24">
        <v>31.0</v>
      </c>
      <c r="D23" s="86">
        <v>0.5083333333333333</v>
      </c>
      <c r="E23" s="59">
        <v>0.08500831624</v>
      </c>
      <c r="F23" s="60">
        <f t="shared" si="12"/>
        <v>5497.912853</v>
      </c>
      <c r="G23" s="25">
        <v>4991.0</v>
      </c>
      <c r="H23" s="25">
        <f t="shared" si="13"/>
        <v>-506.9128528</v>
      </c>
      <c r="I23" s="25">
        <f t="shared" si="14"/>
        <v>2599.536561</v>
      </c>
      <c r="J23" s="64">
        <f>C23*'Rate Codes'!$D$7</f>
        <v>53.490035</v>
      </c>
      <c r="K23" s="25">
        <f>I23*'Rate Codes'!$D$8</f>
        <v>33.67179707</v>
      </c>
      <c r="L23" s="65">
        <f t="shared" si="15"/>
        <v>87.16183207</v>
      </c>
      <c r="M23" s="66">
        <f>I23*'Rate Codes'!$D$8</f>
        <v>33.67179707</v>
      </c>
      <c r="N23" s="67">
        <f t="shared" si="16"/>
        <v>-167.2812414</v>
      </c>
      <c r="O23" s="25">
        <f t="shared" si="17"/>
        <v>120.8336291</v>
      </c>
      <c r="P23" s="25">
        <f t="shared" si="18"/>
        <v>-46.44761229</v>
      </c>
      <c r="Q23" s="25">
        <f t="shared" si="19"/>
        <v>6.041681457</v>
      </c>
      <c r="R23" s="25">
        <f t="shared" si="20"/>
        <v>-40.40593083</v>
      </c>
    </row>
    <row r="24">
      <c r="A24" s="75"/>
      <c r="B24" s="46" t="s">
        <v>120</v>
      </c>
      <c r="C24" s="24">
        <v>30.0</v>
      </c>
      <c r="D24" s="86">
        <v>0.425</v>
      </c>
      <c r="E24" s="59">
        <v>0.108773175</v>
      </c>
      <c r="F24" s="60">
        <f t="shared" si="12"/>
        <v>7034.905093</v>
      </c>
      <c r="G24" s="25">
        <v>4952.0</v>
      </c>
      <c r="H24" s="25">
        <f t="shared" si="13"/>
        <v>-2082.905093</v>
      </c>
      <c r="I24" s="25">
        <f t="shared" si="14"/>
        <v>2156.400069</v>
      </c>
      <c r="J24" s="64">
        <f>C24*'Rate Codes'!$D$7</f>
        <v>51.76455</v>
      </c>
      <c r="K24" s="25">
        <f>I24*'Rate Codes'!$D$8</f>
        <v>27.9318501</v>
      </c>
      <c r="L24" s="65">
        <f t="shared" si="15"/>
        <v>79.6964001</v>
      </c>
      <c r="M24" s="66">
        <f>I24*'Rate Codes'!$D$8</f>
        <v>27.9318501</v>
      </c>
      <c r="N24" s="67">
        <f t="shared" si="16"/>
        <v>-687.3586807</v>
      </c>
      <c r="O24" s="25">
        <f t="shared" si="17"/>
        <v>107.6282502</v>
      </c>
      <c r="P24" s="25">
        <f t="shared" si="18"/>
        <v>-579.7304305</v>
      </c>
      <c r="Q24" s="25">
        <f t="shared" si="19"/>
        <v>5.38141251</v>
      </c>
      <c r="R24" s="25">
        <f t="shared" si="20"/>
        <v>-574.349018</v>
      </c>
    </row>
    <row r="25">
      <c r="A25" s="75"/>
      <c r="B25" s="46" t="s">
        <v>98</v>
      </c>
      <c r="C25" s="24">
        <v>31.0</v>
      </c>
      <c r="D25" s="86">
        <v>0.35277916666666664</v>
      </c>
      <c r="E25" s="59">
        <v>0.1281742617</v>
      </c>
      <c r="F25" s="60">
        <f t="shared" si="12"/>
        <v>8289.670375</v>
      </c>
      <c r="G25" s="25">
        <v>5559.0</v>
      </c>
      <c r="H25" s="25">
        <f t="shared" si="13"/>
        <v>-2730.670375</v>
      </c>
      <c r="I25" s="25">
        <f t="shared" si="14"/>
        <v>2009.367507</v>
      </c>
      <c r="J25" s="64">
        <f>C25*'Rate Codes'!$D$7</f>
        <v>53.490035</v>
      </c>
      <c r="K25" s="25">
        <f>I25*'Rate Codes'!$D$8</f>
        <v>26.02733732</v>
      </c>
      <c r="L25" s="65">
        <f t="shared" si="15"/>
        <v>79.51737232</v>
      </c>
      <c r="M25" s="66">
        <f>I25*'Rate Codes'!$D$8</f>
        <v>26.02733732</v>
      </c>
      <c r="N25" s="67">
        <f t="shared" si="16"/>
        <v>-901.1212239</v>
      </c>
      <c r="O25" s="25">
        <f t="shared" si="17"/>
        <v>105.5447096</v>
      </c>
      <c r="P25" s="25">
        <f t="shared" si="18"/>
        <v>-795.5765143</v>
      </c>
      <c r="Q25" s="25">
        <f t="shared" si="19"/>
        <v>5.277235482</v>
      </c>
      <c r="R25" s="25">
        <f t="shared" si="20"/>
        <v>-790.2992788</v>
      </c>
    </row>
    <row r="26">
      <c r="A26" s="75"/>
      <c r="B26" s="46" t="s">
        <v>121</v>
      </c>
      <c r="C26" s="24">
        <v>30.0</v>
      </c>
      <c r="D26" s="86">
        <v>0.31388750000000004</v>
      </c>
      <c r="E26" s="59">
        <v>0.1254860808</v>
      </c>
      <c r="F26" s="60">
        <f t="shared" si="12"/>
        <v>8115.812276</v>
      </c>
      <c r="G26" s="25">
        <v>4964.0</v>
      </c>
      <c r="H26" s="25">
        <f t="shared" si="13"/>
        <v>-3151.812276</v>
      </c>
      <c r="I26" s="25">
        <f t="shared" si="14"/>
        <v>1596.487656</v>
      </c>
      <c r="J26" s="64">
        <f>C26*'Rate Codes'!$D$7</f>
        <v>51.76455</v>
      </c>
      <c r="K26" s="25">
        <f>I26*'Rate Codes'!$D$8</f>
        <v>20.67930461</v>
      </c>
      <c r="L26" s="65">
        <f t="shared" si="15"/>
        <v>72.44385461</v>
      </c>
      <c r="M26" s="66">
        <f>I26*'Rate Codes'!$D$8</f>
        <v>20.67930461</v>
      </c>
      <c r="N26" s="67">
        <f t="shared" si="16"/>
        <v>-1040.098051</v>
      </c>
      <c r="O26" s="25">
        <f t="shared" si="17"/>
        <v>93.12315922</v>
      </c>
      <c r="P26" s="25">
        <f t="shared" si="18"/>
        <v>-946.9748918</v>
      </c>
      <c r="Q26" s="25">
        <f t="shared" si="19"/>
        <v>4.656157961</v>
      </c>
      <c r="R26" s="25">
        <f t="shared" si="20"/>
        <v>-942.3187338</v>
      </c>
    </row>
    <row r="27">
      <c r="A27" s="75"/>
      <c r="B27" s="46" t="s">
        <v>122</v>
      </c>
      <c r="C27" s="24">
        <v>31.0</v>
      </c>
      <c r="D27" s="86">
        <v>0.33125</v>
      </c>
      <c r="E27" s="59">
        <v>0.1449493112</v>
      </c>
      <c r="F27" s="60">
        <f t="shared" si="12"/>
        <v>9374.596702</v>
      </c>
      <c r="G27" s="25">
        <v>6634.0</v>
      </c>
      <c r="H27" s="25">
        <f t="shared" si="13"/>
        <v>-2740.596702</v>
      </c>
      <c r="I27" s="25">
        <f t="shared" si="14"/>
        <v>2251.599405</v>
      </c>
      <c r="J27" s="64">
        <f>C27*'Rate Codes'!$D$7</f>
        <v>53.490035</v>
      </c>
      <c r="K27" s="25">
        <f>I27*'Rate Codes'!$D$8</f>
        <v>29.16496709</v>
      </c>
      <c r="L27" s="65">
        <f t="shared" si="15"/>
        <v>82.65500209</v>
      </c>
      <c r="M27" s="66">
        <f>I27*'Rate Codes'!$D$8</f>
        <v>29.16496709</v>
      </c>
      <c r="N27" s="67">
        <f t="shared" si="16"/>
        <v>-904.3969116</v>
      </c>
      <c r="O27" s="25">
        <f t="shared" si="17"/>
        <v>111.8199692</v>
      </c>
      <c r="P27" s="25">
        <f t="shared" si="18"/>
        <v>-792.5769424</v>
      </c>
      <c r="Q27" s="25">
        <f t="shared" si="19"/>
        <v>5.590998459</v>
      </c>
      <c r="R27" s="25">
        <f t="shared" si="20"/>
        <v>-786.985944</v>
      </c>
    </row>
    <row r="28">
      <c r="A28" s="75"/>
      <c r="B28" s="46" t="s">
        <v>123</v>
      </c>
      <c r="C28" s="24">
        <v>31.0</v>
      </c>
      <c r="D28" s="86">
        <v>0.3951375</v>
      </c>
      <c r="E28" s="59">
        <v>0.1246952409</v>
      </c>
      <c r="F28" s="60">
        <f t="shared" si="12"/>
        <v>8064.664705</v>
      </c>
      <c r="G28" s="25">
        <v>5909.0</v>
      </c>
      <c r="H28" s="25">
        <f t="shared" si="13"/>
        <v>-2155.664705</v>
      </c>
      <c r="I28" s="25">
        <f t="shared" si="14"/>
        <v>2392.335081</v>
      </c>
      <c r="J28" s="64">
        <f>C28*'Rate Codes'!$D$7</f>
        <v>53.490035</v>
      </c>
      <c r="K28" s="25">
        <f>I28*'Rate Codes'!$D$8</f>
        <v>30.98791631</v>
      </c>
      <c r="L28" s="65">
        <f t="shared" si="15"/>
        <v>84.47795131</v>
      </c>
      <c r="M28" s="66">
        <f>I28*'Rate Codes'!$D$8</f>
        <v>30.98791631</v>
      </c>
      <c r="N28" s="67">
        <f t="shared" si="16"/>
        <v>-711.3693527</v>
      </c>
      <c r="O28" s="25">
        <f t="shared" si="17"/>
        <v>115.4658676</v>
      </c>
      <c r="P28" s="25">
        <f t="shared" si="18"/>
        <v>-595.9034851</v>
      </c>
      <c r="Q28" s="25">
        <f t="shared" si="19"/>
        <v>5.773293381</v>
      </c>
      <c r="R28" s="25">
        <f t="shared" si="20"/>
        <v>-590.1301917</v>
      </c>
    </row>
    <row r="29">
      <c r="A29" s="75"/>
      <c r="B29" s="46" t="s">
        <v>124</v>
      </c>
      <c r="C29" s="24">
        <v>30.0</v>
      </c>
      <c r="D29" s="86">
        <v>0.4756958333333334</v>
      </c>
      <c r="E29" s="59">
        <v>0.09825803101</v>
      </c>
      <c r="F29" s="60">
        <f t="shared" si="12"/>
        <v>6354.838156</v>
      </c>
      <c r="G29" s="25">
        <v>5270.0</v>
      </c>
      <c r="H29" s="25">
        <f t="shared" si="13"/>
        <v>-1084.838156</v>
      </c>
      <c r="I29" s="25">
        <f t="shared" si="14"/>
        <v>2568.619254</v>
      </c>
      <c r="J29" s="64">
        <f>C29*'Rate Codes'!$D$7</f>
        <v>51.76455</v>
      </c>
      <c r="K29" s="25">
        <f>I29*'Rate Codes'!$D$8</f>
        <v>33.2713252</v>
      </c>
      <c r="L29" s="65">
        <f t="shared" si="15"/>
        <v>85.0358752</v>
      </c>
      <c r="M29" s="66">
        <f>I29*'Rate Codes'!$D$8</f>
        <v>33.2713252</v>
      </c>
      <c r="N29" s="67">
        <f t="shared" si="16"/>
        <v>-357.9965913</v>
      </c>
      <c r="O29" s="25">
        <f t="shared" si="17"/>
        <v>118.3072004</v>
      </c>
      <c r="P29" s="25">
        <f t="shared" si="18"/>
        <v>-239.6893909</v>
      </c>
      <c r="Q29" s="25">
        <f t="shared" si="19"/>
        <v>5.91536002</v>
      </c>
      <c r="R29" s="25">
        <f t="shared" si="20"/>
        <v>-233.7740309</v>
      </c>
    </row>
    <row r="30">
      <c r="A30" s="75"/>
      <c r="B30" s="46" t="s">
        <v>125</v>
      </c>
      <c r="C30" s="24">
        <v>31.0</v>
      </c>
      <c r="D30" s="86">
        <v>0.5590291666666667</v>
      </c>
      <c r="E30" s="59">
        <v>0.06840443866</v>
      </c>
      <c r="F30" s="60">
        <f t="shared" si="12"/>
        <v>4424.05707</v>
      </c>
      <c r="G30" s="25">
        <v>5946.0</v>
      </c>
      <c r="H30" s="25">
        <f t="shared" si="13"/>
        <v>1521.94293</v>
      </c>
      <c r="I30" s="25">
        <f t="shared" si="14"/>
        <v>3405.800016</v>
      </c>
      <c r="J30" s="64">
        <f>C30*'Rate Codes'!$D$7</f>
        <v>53.490035</v>
      </c>
      <c r="K30" s="25">
        <f>I30*'Rate Codes'!$D$8</f>
        <v>44.11532761</v>
      </c>
      <c r="L30" s="65">
        <f t="shared" si="15"/>
        <v>97.60536261</v>
      </c>
      <c r="M30" s="66">
        <f>I30*'Rate Codes'!$D$8</f>
        <v>44.11532761</v>
      </c>
      <c r="N30" s="67">
        <f t="shared" si="16"/>
        <v>104.8618679</v>
      </c>
      <c r="O30" s="25">
        <f t="shared" si="17"/>
        <v>141.7206902</v>
      </c>
      <c r="P30" s="25">
        <f t="shared" si="18"/>
        <v>246.5825581</v>
      </c>
      <c r="Q30" s="25">
        <f t="shared" si="19"/>
        <v>12.3291279</v>
      </c>
      <c r="R30" s="25">
        <f t="shared" si="20"/>
        <v>258.911686</v>
      </c>
    </row>
    <row r="31">
      <c r="A31" s="75"/>
      <c r="B31" s="46" t="s">
        <v>126</v>
      </c>
      <c r="C31" s="24">
        <v>30.0</v>
      </c>
      <c r="D31" s="86">
        <v>0.63125</v>
      </c>
      <c r="E31" s="59">
        <v>0.0271408052</v>
      </c>
      <c r="F31" s="60">
        <f t="shared" si="12"/>
        <v>1755.331576</v>
      </c>
      <c r="G31" s="25">
        <v>5587.0</v>
      </c>
      <c r="H31" s="25">
        <f t="shared" si="13"/>
        <v>3831.668424</v>
      </c>
      <c r="I31" s="25">
        <f t="shared" si="14"/>
        <v>3613.59797</v>
      </c>
      <c r="J31" s="64">
        <f>C31*'Rate Codes'!$D$7</f>
        <v>51.76455</v>
      </c>
      <c r="K31" s="25">
        <f>I31*'Rate Codes'!$D$8</f>
        <v>46.8069345</v>
      </c>
      <c r="L31" s="65">
        <f t="shared" si="15"/>
        <v>98.5714845</v>
      </c>
      <c r="M31" s="66">
        <f>I31*'Rate Codes'!$D$8</f>
        <v>46.8069345</v>
      </c>
      <c r="N31" s="67">
        <f t="shared" si="16"/>
        <v>264.0019544</v>
      </c>
      <c r="O31" s="25">
        <f t="shared" si="17"/>
        <v>145.378419</v>
      </c>
      <c r="P31" s="25">
        <f t="shared" si="18"/>
        <v>409.3803734</v>
      </c>
      <c r="Q31" s="25">
        <f t="shared" si="19"/>
        <v>20.46901867</v>
      </c>
      <c r="R31" s="25">
        <f t="shared" si="20"/>
        <v>429.8493921</v>
      </c>
    </row>
    <row r="32">
      <c r="A32" s="75"/>
      <c r="B32" s="46" t="s">
        <v>127</v>
      </c>
      <c r="C32" s="24">
        <v>31.0</v>
      </c>
      <c r="D32" s="86">
        <v>0.6680541666666667</v>
      </c>
      <c r="E32" s="59">
        <v>0.01559005293</v>
      </c>
      <c r="F32" s="60">
        <f t="shared" si="12"/>
        <v>1008.286673</v>
      </c>
      <c r="G32" s="25">
        <v>5490.0</v>
      </c>
      <c r="H32" s="25">
        <f t="shared" si="13"/>
        <v>4481.713327</v>
      </c>
      <c r="I32" s="25">
        <f t="shared" si="14"/>
        <v>3757.887657</v>
      </c>
      <c r="J32" s="64">
        <f>C32*'Rate Codes'!$D$7</f>
        <v>53.490035</v>
      </c>
      <c r="K32" s="25">
        <f>I32*'Rate Codes'!$D$8</f>
        <v>48.67591881</v>
      </c>
      <c r="L32" s="65">
        <f t="shared" si="15"/>
        <v>102.1659538</v>
      </c>
      <c r="M32" s="66">
        <f>I32*'Rate Codes'!$D$8</f>
        <v>48.67591881</v>
      </c>
      <c r="N32" s="67">
        <f t="shared" si="16"/>
        <v>308.7900482</v>
      </c>
      <c r="O32" s="25">
        <f t="shared" si="17"/>
        <v>150.8418726</v>
      </c>
      <c r="P32" s="25">
        <f t="shared" si="18"/>
        <v>459.6319208</v>
      </c>
      <c r="Q32" s="25">
        <f t="shared" si="19"/>
        <v>22.98159604</v>
      </c>
      <c r="R32" s="25">
        <f t="shared" si="20"/>
        <v>482.6135169</v>
      </c>
    </row>
    <row r="33">
      <c r="A33" s="41"/>
      <c r="B33" s="44" t="s">
        <v>109</v>
      </c>
      <c r="C33" s="44"/>
      <c r="D33" s="44"/>
      <c r="E33" s="68">
        <f t="shared" ref="E33:N33" si="21">SUM(E21:E32)</f>
        <v>1</v>
      </c>
      <c r="F33" s="69">
        <f t="shared" si="21"/>
        <v>64675</v>
      </c>
      <c r="G33" s="48">
        <f t="shared" si="21"/>
        <v>66307</v>
      </c>
      <c r="H33" s="48">
        <f t="shared" si="21"/>
        <v>1631.999999</v>
      </c>
      <c r="I33" s="48">
        <f t="shared" si="21"/>
        <v>33326.89792</v>
      </c>
      <c r="J33" s="48">
        <f t="shared" si="21"/>
        <v>629.802025</v>
      </c>
      <c r="K33" s="48">
        <f t="shared" si="21"/>
        <v>431.6833087</v>
      </c>
      <c r="L33" s="48">
        <f t="shared" si="21"/>
        <v>1061.485334</v>
      </c>
      <c r="M33" s="48">
        <f t="shared" si="21"/>
        <v>431.6833087</v>
      </c>
      <c r="N33" s="48">
        <f t="shared" si="21"/>
        <v>-3661.337982</v>
      </c>
      <c r="O33" s="48">
        <f t="shared" si="17"/>
        <v>1493.168642</v>
      </c>
      <c r="P33" s="48">
        <f t="shared" ref="P33:R33" si="22">SUM(P21:P32)</f>
        <v>-2168.169339</v>
      </c>
      <c r="Q33" s="48">
        <f t="shared" si="22"/>
        <v>130.0726357</v>
      </c>
      <c r="R33" s="48">
        <f t="shared" si="22"/>
        <v>-2038.096704</v>
      </c>
    </row>
    <row r="35">
      <c r="A35" s="1">
        <v>2.0</v>
      </c>
      <c r="B35" s="1" t="s">
        <v>128</v>
      </c>
      <c r="C35" s="1"/>
      <c r="D35" s="1"/>
      <c r="E35" s="1">
        <f>$E$1* POWER((1 -$H$1),A35)</f>
        <v>64351.625</v>
      </c>
      <c r="F35" s="1" t="s">
        <v>132</v>
      </c>
      <c r="G35" s="8">
        <f>E35/G49</f>
        <v>0.9705102779</v>
      </c>
      <c r="H35" s="1" t="s">
        <v>133</v>
      </c>
      <c r="I35" s="6">
        <f>1-G35</f>
        <v>0.02948972205</v>
      </c>
      <c r="J35" s="1" t="s">
        <v>74</v>
      </c>
      <c r="M35" s="1" t="s">
        <v>78</v>
      </c>
    </row>
    <row r="36">
      <c r="B36" s="44" t="s">
        <v>83</v>
      </c>
      <c r="C36" s="20" t="s">
        <v>88</v>
      </c>
      <c r="D36" s="44" t="s">
        <v>87</v>
      </c>
      <c r="E36" s="44" t="s">
        <v>140</v>
      </c>
      <c r="F36" s="44" t="s">
        <v>135</v>
      </c>
      <c r="G36" s="20" t="s">
        <v>89</v>
      </c>
      <c r="H36" s="20" t="s">
        <v>138</v>
      </c>
      <c r="I36" s="20" t="s">
        <v>139</v>
      </c>
      <c r="J36" s="20" t="s">
        <v>76</v>
      </c>
      <c r="K36" s="20" t="s">
        <v>82</v>
      </c>
      <c r="L36" s="20" t="s">
        <v>109</v>
      </c>
      <c r="M36" s="20" t="s">
        <v>80</v>
      </c>
      <c r="N36" s="20" t="s">
        <v>67</v>
      </c>
      <c r="O36" s="45" t="s">
        <v>114</v>
      </c>
      <c r="P36" s="45" t="s">
        <v>115</v>
      </c>
      <c r="Q36" s="45" t="s">
        <v>60</v>
      </c>
      <c r="R36" s="45" t="s">
        <v>109</v>
      </c>
    </row>
    <row r="37">
      <c r="B37" s="46" t="s">
        <v>117</v>
      </c>
      <c r="C37" s="24">
        <v>31.0</v>
      </c>
      <c r="D37" s="86">
        <v>0.6479166666666667</v>
      </c>
      <c r="E37" s="59">
        <v>0.02731296772</v>
      </c>
      <c r="F37" s="60">
        <f t="shared" ref="F37:F48" si="23">$E$35*E37</f>
        <v>1757.633856</v>
      </c>
      <c r="G37" s="25">
        <v>5726.0</v>
      </c>
      <c r="H37" s="25">
        <f t="shared" ref="H37:H48" si="24">G37-F37</f>
        <v>3968.366144</v>
      </c>
      <c r="I37" s="25">
        <f t="shared" ref="I37:I48" si="25">D37*G37*(1+$I$35)</f>
        <v>3819.376842</v>
      </c>
      <c r="J37" s="64">
        <f>C37*'Rate Codes'!$D$7</f>
        <v>53.490035</v>
      </c>
      <c r="K37" s="25">
        <f>I37*'Rate Codes'!$D$8</f>
        <v>49.47238823</v>
      </c>
      <c r="L37" s="65">
        <f t="shared" ref="L37:L48" si="26">SUM(J37:K37)</f>
        <v>102.9624232</v>
      </c>
      <c r="M37" s="66">
        <f>I37*'Rate Codes'!$D$8</f>
        <v>49.47238823</v>
      </c>
      <c r="N37" s="67">
        <f t="shared" ref="N37:N48" si="27">H37*IF(D37&gt;51%,0.0689,0.33)</f>
        <v>273.4204273</v>
      </c>
      <c r="O37" s="25">
        <f t="shared" ref="O37:O49" si="28">L37+M37</f>
        <v>152.4348115</v>
      </c>
      <c r="P37" s="25">
        <f t="shared" ref="P37:P48" si="29">N37+L37+M37</f>
        <v>425.8552388</v>
      </c>
      <c r="Q37" s="25">
        <f t="shared" ref="Q37:Q48" si="30">(IF(N37&gt;0,N37,0)+O37)*0.05</f>
        <v>21.29276194</v>
      </c>
      <c r="R37" s="25">
        <f t="shared" ref="R37:R48" si="31">P37+Q37</f>
        <v>447.1480007</v>
      </c>
    </row>
    <row r="38">
      <c r="B38" s="46" t="s">
        <v>118</v>
      </c>
      <c r="C38" s="24">
        <v>28.0</v>
      </c>
      <c r="D38" s="86">
        <v>0.5868041666666667</v>
      </c>
      <c r="E38" s="59">
        <v>0.04620731865</v>
      </c>
      <c r="F38" s="60">
        <f t="shared" si="23"/>
        <v>2973.516042</v>
      </c>
      <c r="G38" s="25">
        <v>5279.0</v>
      </c>
      <c r="H38" s="25">
        <f t="shared" si="24"/>
        <v>2305.483958</v>
      </c>
      <c r="I38" s="25">
        <f t="shared" si="25"/>
        <v>3189.090664</v>
      </c>
      <c r="J38" s="64">
        <f>C38*'Rate Codes'!$D$7</f>
        <v>48.31358</v>
      </c>
      <c r="K38" s="25">
        <f>I38*'Rate Codes'!$D$8</f>
        <v>41.30829137</v>
      </c>
      <c r="L38" s="65">
        <f t="shared" si="26"/>
        <v>89.62187137</v>
      </c>
      <c r="M38" s="66">
        <f>I38*'Rate Codes'!$D$8</f>
        <v>41.30829137</v>
      </c>
      <c r="N38" s="67">
        <f t="shared" si="27"/>
        <v>158.8478447</v>
      </c>
      <c r="O38" s="25">
        <f t="shared" si="28"/>
        <v>130.9301627</v>
      </c>
      <c r="P38" s="25">
        <f t="shared" si="29"/>
        <v>289.7780074</v>
      </c>
      <c r="Q38" s="25">
        <f t="shared" si="30"/>
        <v>14.48890037</v>
      </c>
      <c r="R38" s="25">
        <f t="shared" si="31"/>
        <v>304.2669078</v>
      </c>
    </row>
    <row r="39">
      <c r="B39" s="46" t="s">
        <v>119</v>
      </c>
      <c r="C39" s="24">
        <v>31.0</v>
      </c>
      <c r="D39" s="86">
        <v>0.5083333333333333</v>
      </c>
      <c r="E39" s="59">
        <v>0.08500831624</v>
      </c>
      <c r="F39" s="60">
        <f t="shared" si="23"/>
        <v>5470.423289</v>
      </c>
      <c r="G39" s="25">
        <v>4991.0</v>
      </c>
      <c r="H39" s="25">
        <f t="shared" si="24"/>
        <v>-479.4232886</v>
      </c>
      <c r="I39" s="25">
        <f t="shared" si="25"/>
        <v>2611.909795</v>
      </c>
      <c r="J39" s="64">
        <f>C39*'Rate Codes'!$D$7</f>
        <v>53.490035</v>
      </c>
      <c r="K39" s="25">
        <f>I39*'Rate Codes'!$D$8</f>
        <v>33.83206757</v>
      </c>
      <c r="L39" s="65">
        <f t="shared" si="26"/>
        <v>87.32210257</v>
      </c>
      <c r="M39" s="66">
        <f>I39*'Rate Codes'!$D$8</f>
        <v>33.83206757</v>
      </c>
      <c r="N39" s="67">
        <f t="shared" si="27"/>
        <v>-158.2096852</v>
      </c>
      <c r="O39" s="25">
        <f t="shared" si="28"/>
        <v>121.1541701</v>
      </c>
      <c r="P39" s="25">
        <f t="shared" si="29"/>
        <v>-37.05551508</v>
      </c>
      <c r="Q39" s="25">
        <f t="shared" si="30"/>
        <v>6.057708507</v>
      </c>
      <c r="R39" s="25">
        <f t="shared" si="31"/>
        <v>-30.99780657</v>
      </c>
    </row>
    <row r="40">
      <c r="B40" s="46" t="s">
        <v>120</v>
      </c>
      <c r="C40" s="24">
        <v>30.0</v>
      </c>
      <c r="D40" s="86">
        <v>0.425</v>
      </c>
      <c r="E40" s="59">
        <v>0.108773175</v>
      </c>
      <c r="F40" s="60">
        <f t="shared" si="23"/>
        <v>6999.730568</v>
      </c>
      <c r="G40" s="25">
        <v>4952.0</v>
      </c>
      <c r="H40" s="25">
        <f t="shared" si="24"/>
        <v>-2047.730568</v>
      </c>
      <c r="I40" s="25">
        <f t="shared" si="25"/>
        <v>2166.664069</v>
      </c>
      <c r="J40" s="64">
        <f>C40*'Rate Codes'!$D$7</f>
        <v>51.76455</v>
      </c>
      <c r="K40" s="25">
        <f>I40*'Rate Codes'!$D$8</f>
        <v>28.06479969</v>
      </c>
      <c r="L40" s="65">
        <f t="shared" si="26"/>
        <v>79.82934969</v>
      </c>
      <c r="M40" s="66">
        <f>I40*'Rate Codes'!$D$8</f>
        <v>28.06479969</v>
      </c>
      <c r="N40" s="67">
        <f t="shared" si="27"/>
        <v>-675.7510873</v>
      </c>
      <c r="O40" s="25">
        <f t="shared" si="28"/>
        <v>107.8941494</v>
      </c>
      <c r="P40" s="25">
        <f t="shared" si="29"/>
        <v>-567.856938</v>
      </c>
      <c r="Q40" s="25">
        <f t="shared" si="30"/>
        <v>5.394707469</v>
      </c>
      <c r="R40" s="25">
        <f t="shared" si="31"/>
        <v>-562.4622305</v>
      </c>
    </row>
    <row r="41">
      <c r="B41" s="46" t="s">
        <v>98</v>
      </c>
      <c r="C41" s="24">
        <v>31.0</v>
      </c>
      <c r="D41" s="86">
        <v>0.35277916666666664</v>
      </c>
      <c r="E41" s="59">
        <v>0.1281742617</v>
      </c>
      <c r="F41" s="60">
        <f t="shared" si="23"/>
        <v>8248.222024</v>
      </c>
      <c r="G41" s="25">
        <v>5559.0</v>
      </c>
      <c r="H41" s="25">
        <f t="shared" si="24"/>
        <v>-2689.222024</v>
      </c>
      <c r="I41" s="25">
        <f t="shared" si="25"/>
        <v>2018.931663</v>
      </c>
      <c r="J41" s="64">
        <f>C41*'Rate Codes'!$D$7</f>
        <v>53.490035</v>
      </c>
      <c r="K41" s="25">
        <f>I41*'Rate Codes'!$D$8</f>
        <v>26.15122184</v>
      </c>
      <c r="L41" s="65">
        <f t="shared" si="26"/>
        <v>79.64125684</v>
      </c>
      <c r="M41" s="66">
        <f>I41*'Rate Codes'!$D$8</f>
        <v>26.15122184</v>
      </c>
      <c r="N41" s="67">
        <f t="shared" si="27"/>
        <v>-887.4432678</v>
      </c>
      <c r="O41" s="25">
        <f t="shared" si="28"/>
        <v>105.7924787</v>
      </c>
      <c r="P41" s="25">
        <f t="shared" si="29"/>
        <v>-781.6507891</v>
      </c>
      <c r="Q41" s="25">
        <f t="shared" si="30"/>
        <v>5.289623934</v>
      </c>
      <c r="R41" s="25">
        <f t="shared" si="31"/>
        <v>-776.3611652</v>
      </c>
    </row>
    <row r="42">
      <c r="B42" s="46" t="s">
        <v>121</v>
      </c>
      <c r="C42" s="24">
        <v>30.0</v>
      </c>
      <c r="D42" s="86">
        <v>0.31388750000000004</v>
      </c>
      <c r="E42" s="59">
        <v>0.1254860808</v>
      </c>
      <c r="F42" s="60">
        <f t="shared" si="23"/>
        <v>8075.233214</v>
      </c>
      <c r="G42" s="25">
        <v>4964.0</v>
      </c>
      <c r="H42" s="25">
        <f t="shared" si="24"/>
        <v>-3111.233214</v>
      </c>
      <c r="I42" s="25">
        <f t="shared" si="25"/>
        <v>1604.086593</v>
      </c>
      <c r="J42" s="64">
        <f>C42*'Rate Codes'!$D$7</f>
        <v>51.76455</v>
      </c>
      <c r="K42" s="25">
        <f>I42*'Rate Codes'!$D$8</f>
        <v>20.77773364</v>
      </c>
      <c r="L42" s="65">
        <f t="shared" si="26"/>
        <v>72.54228364</v>
      </c>
      <c r="M42" s="66">
        <f>I42*'Rate Codes'!$D$8</f>
        <v>20.77773364</v>
      </c>
      <c r="N42" s="67">
        <f t="shared" si="27"/>
        <v>-1026.706961</v>
      </c>
      <c r="O42" s="25">
        <f t="shared" si="28"/>
        <v>93.32001729</v>
      </c>
      <c r="P42" s="25">
        <f t="shared" si="29"/>
        <v>-933.3869435</v>
      </c>
      <c r="Q42" s="25">
        <f t="shared" si="30"/>
        <v>4.666000864</v>
      </c>
      <c r="R42" s="25">
        <f t="shared" si="31"/>
        <v>-928.7209426</v>
      </c>
    </row>
    <row r="43">
      <c r="B43" s="46" t="s">
        <v>122</v>
      </c>
      <c r="C43" s="24">
        <v>31.0</v>
      </c>
      <c r="D43" s="86">
        <v>0.33125</v>
      </c>
      <c r="E43" s="59">
        <v>0.1449493112</v>
      </c>
      <c r="F43" s="60">
        <f t="shared" si="23"/>
        <v>9327.723718</v>
      </c>
      <c r="G43" s="25">
        <v>6634.0</v>
      </c>
      <c r="H43" s="25">
        <f t="shared" si="24"/>
        <v>-2693.723718</v>
      </c>
      <c r="I43" s="25">
        <f t="shared" si="25"/>
        <v>2262.316533</v>
      </c>
      <c r="J43" s="64">
        <f>C43*'Rate Codes'!$D$7</f>
        <v>53.490035</v>
      </c>
      <c r="K43" s="25">
        <f>I43*'Rate Codes'!$D$8</f>
        <v>29.30378605</v>
      </c>
      <c r="L43" s="65">
        <f t="shared" si="26"/>
        <v>82.79382105</v>
      </c>
      <c r="M43" s="66">
        <f>I43*'Rate Codes'!$D$8</f>
        <v>29.30378605</v>
      </c>
      <c r="N43" s="67">
        <f t="shared" si="27"/>
        <v>-888.9288271</v>
      </c>
      <c r="O43" s="25">
        <f t="shared" si="28"/>
        <v>112.0976071</v>
      </c>
      <c r="P43" s="25">
        <f t="shared" si="29"/>
        <v>-776.83122</v>
      </c>
      <c r="Q43" s="25">
        <f t="shared" si="30"/>
        <v>5.604880355</v>
      </c>
      <c r="R43" s="25">
        <f t="shared" si="31"/>
        <v>-771.2263396</v>
      </c>
    </row>
    <row r="44">
      <c r="B44" s="46" t="s">
        <v>123</v>
      </c>
      <c r="C44" s="24">
        <v>31.0</v>
      </c>
      <c r="D44" s="86">
        <v>0.3951375</v>
      </c>
      <c r="E44" s="59">
        <v>0.1246952409</v>
      </c>
      <c r="F44" s="60">
        <f t="shared" si="23"/>
        <v>8024.341382</v>
      </c>
      <c r="G44" s="25">
        <v>5909.0</v>
      </c>
      <c r="H44" s="25">
        <f t="shared" si="24"/>
        <v>-2115.341382</v>
      </c>
      <c r="I44" s="25">
        <f t="shared" si="25"/>
        <v>2403.722081</v>
      </c>
      <c r="J44" s="64">
        <f>C44*'Rate Codes'!$D$7</f>
        <v>53.490035</v>
      </c>
      <c r="K44" s="25">
        <f>I44*'Rate Codes'!$D$8</f>
        <v>31.13541211</v>
      </c>
      <c r="L44" s="65">
        <f t="shared" si="26"/>
        <v>84.62544711</v>
      </c>
      <c r="M44" s="66">
        <f>I44*'Rate Codes'!$D$8</f>
        <v>31.13541211</v>
      </c>
      <c r="N44" s="67">
        <f t="shared" si="27"/>
        <v>-698.062656</v>
      </c>
      <c r="O44" s="25">
        <f t="shared" si="28"/>
        <v>115.7608592</v>
      </c>
      <c r="P44" s="25">
        <f t="shared" si="29"/>
        <v>-582.3017967</v>
      </c>
      <c r="Q44" s="25">
        <f t="shared" si="30"/>
        <v>5.788042961</v>
      </c>
      <c r="R44" s="25">
        <f t="shared" si="31"/>
        <v>-576.5137538</v>
      </c>
    </row>
    <row r="45">
      <c r="B45" s="46" t="s">
        <v>124</v>
      </c>
      <c r="C45" s="24">
        <v>30.0</v>
      </c>
      <c r="D45" s="86">
        <v>0.4756958333333334</v>
      </c>
      <c r="E45" s="59">
        <v>0.09825803101</v>
      </c>
      <c r="F45" s="60">
        <f t="shared" si="23"/>
        <v>6323.063965</v>
      </c>
      <c r="G45" s="25">
        <v>5270.0</v>
      </c>
      <c r="H45" s="25">
        <f t="shared" si="24"/>
        <v>-1053.063965</v>
      </c>
      <c r="I45" s="25">
        <f t="shared" si="25"/>
        <v>2580.845328</v>
      </c>
      <c r="J45" s="64">
        <f>C45*'Rate Codes'!$D$7</f>
        <v>51.76455</v>
      </c>
      <c r="K45" s="25">
        <f>I45*'Rate Codes'!$D$8</f>
        <v>33.42968954</v>
      </c>
      <c r="L45" s="65">
        <f t="shared" si="26"/>
        <v>85.19423954</v>
      </c>
      <c r="M45" s="66">
        <f>I45*'Rate Codes'!$D$8</f>
        <v>33.42968954</v>
      </c>
      <c r="N45" s="67">
        <f t="shared" si="27"/>
        <v>-347.5111084</v>
      </c>
      <c r="O45" s="25">
        <f t="shared" si="28"/>
        <v>118.6239291</v>
      </c>
      <c r="P45" s="25">
        <f t="shared" si="29"/>
        <v>-228.8871793</v>
      </c>
      <c r="Q45" s="25">
        <f t="shared" si="30"/>
        <v>5.931196454</v>
      </c>
      <c r="R45" s="25">
        <f t="shared" si="31"/>
        <v>-222.9559828</v>
      </c>
    </row>
    <row r="46">
      <c r="B46" s="46" t="s">
        <v>125</v>
      </c>
      <c r="C46" s="24">
        <v>31.0</v>
      </c>
      <c r="D46" s="86">
        <v>0.5590291666666667</v>
      </c>
      <c r="E46" s="59">
        <v>0.06840443866</v>
      </c>
      <c r="F46" s="60">
        <f t="shared" si="23"/>
        <v>4401.936785</v>
      </c>
      <c r="G46" s="25">
        <v>5946.0</v>
      </c>
      <c r="H46" s="25">
        <f t="shared" si="24"/>
        <v>1544.063215</v>
      </c>
      <c r="I46" s="25">
        <f t="shared" si="25"/>
        <v>3422.01089</v>
      </c>
      <c r="J46" s="64">
        <f>C46*'Rate Codes'!$D$7</f>
        <v>53.490035</v>
      </c>
      <c r="K46" s="25">
        <f>I46*'Rate Codes'!$D$8</f>
        <v>44.32530706</v>
      </c>
      <c r="L46" s="65">
        <f t="shared" si="26"/>
        <v>97.81534206</v>
      </c>
      <c r="M46" s="66">
        <f>I46*'Rate Codes'!$D$8</f>
        <v>44.32530706</v>
      </c>
      <c r="N46" s="67">
        <f t="shared" si="27"/>
        <v>106.3859555</v>
      </c>
      <c r="O46" s="25">
        <f t="shared" si="28"/>
        <v>142.1406491</v>
      </c>
      <c r="P46" s="25">
        <f t="shared" si="29"/>
        <v>248.5266046</v>
      </c>
      <c r="Q46" s="25">
        <f t="shared" si="30"/>
        <v>12.42633023</v>
      </c>
      <c r="R46" s="25">
        <f t="shared" si="31"/>
        <v>260.9529349</v>
      </c>
    </row>
    <row r="47">
      <c r="B47" s="46" t="s">
        <v>126</v>
      </c>
      <c r="C47" s="24">
        <v>30.0</v>
      </c>
      <c r="D47" s="86">
        <v>0.63125</v>
      </c>
      <c r="E47" s="59">
        <v>0.0271408052</v>
      </c>
      <c r="F47" s="60">
        <f t="shared" si="23"/>
        <v>1746.554918</v>
      </c>
      <c r="G47" s="25">
        <v>5587.0</v>
      </c>
      <c r="H47" s="25">
        <f t="shared" si="24"/>
        <v>3840.445082</v>
      </c>
      <c r="I47" s="25">
        <f t="shared" si="25"/>
        <v>3630.797917</v>
      </c>
      <c r="J47" s="64">
        <f>C47*'Rate Codes'!$D$7</f>
        <v>51.76455</v>
      </c>
      <c r="K47" s="25">
        <f>I47*'Rate Codes'!$D$8</f>
        <v>47.02972542</v>
      </c>
      <c r="L47" s="65">
        <f t="shared" si="26"/>
        <v>98.79427542</v>
      </c>
      <c r="M47" s="66">
        <f>I47*'Rate Codes'!$D$8</f>
        <v>47.02972542</v>
      </c>
      <c r="N47" s="67">
        <f t="shared" si="27"/>
        <v>264.6066661</v>
      </c>
      <c r="O47" s="25">
        <f t="shared" si="28"/>
        <v>145.8240008</v>
      </c>
      <c r="P47" s="25">
        <f t="shared" si="29"/>
        <v>410.430667</v>
      </c>
      <c r="Q47" s="25">
        <f t="shared" si="30"/>
        <v>20.52153335</v>
      </c>
      <c r="R47" s="25">
        <f t="shared" si="31"/>
        <v>430.9522003</v>
      </c>
    </row>
    <row r="48">
      <c r="B48" s="46" t="s">
        <v>127</v>
      </c>
      <c r="C48" s="24">
        <v>31.0</v>
      </c>
      <c r="D48" s="86">
        <v>0.6680541666666667</v>
      </c>
      <c r="E48" s="59">
        <v>0.01559005293</v>
      </c>
      <c r="F48" s="60">
        <f t="shared" si="23"/>
        <v>1003.24524</v>
      </c>
      <c r="G48" s="25">
        <v>5490.0</v>
      </c>
      <c r="H48" s="25">
        <f t="shared" si="24"/>
        <v>4486.75476</v>
      </c>
      <c r="I48" s="25">
        <f t="shared" si="25"/>
        <v>3775.774392</v>
      </c>
      <c r="J48" s="64">
        <f>C48*'Rate Codes'!$D$7</f>
        <v>53.490035</v>
      </c>
      <c r="K48" s="25">
        <f>I48*'Rate Codes'!$D$8</f>
        <v>48.9076057</v>
      </c>
      <c r="L48" s="65">
        <f t="shared" si="26"/>
        <v>102.3976407</v>
      </c>
      <c r="M48" s="66">
        <f>I48*'Rate Codes'!$D$8</f>
        <v>48.9076057</v>
      </c>
      <c r="N48" s="67">
        <f t="shared" si="27"/>
        <v>309.137403</v>
      </c>
      <c r="O48" s="25">
        <f t="shared" si="28"/>
        <v>151.3052464</v>
      </c>
      <c r="P48" s="25">
        <f t="shared" si="29"/>
        <v>460.4426494</v>
      </c>
      <c r="Q48" s="25">
        <f t="shared" si="30"/>
        <v>23.02213247</v>
      </c>
      <c r="R48" s="25">
        <f t="shared" si="31"/>
        <v>483.4647818</v>
      </c>
    </row>
    <row r="49">
      <c r="B49" s="44" t="s">
        <v>109</v>
      </c>
      <c r="C49" s="44"/>
      <c r="D49" s="44"/>
      <c r="E49" s="68">
        <f t="shared" ref="E49:N49" si="32">SUM(E37:E48)</f>
        <v>1</v>
      </c>
      <c r="F49" s="69">
        <f t="shared" si="32"/>
        <v>64351.625</v>
      </c>
      <c r="G49" s="48">
        <f t="shared" si="32"/>
        <v>66307</v>
      </c>
      <c r="H49" s="48">
        <f t="shared" si="32"/>
        <v>1955.374999</v>
      </c>
      <c r="I49" s="48">
        <f t="shared" si="32"/>
        <v>33485.52677</v>
      </c>
      <c r="J49" s="48">
        <f t="shared" si="32"/>
        <v>629.802025</v>
      </c>
      <c r="K49" s="48">
        <f t="shared" si="32"/>
        <v>433.7380282</v>
      </c>
      <c r="L49" s="48">
        <f t="shared" si="32"/>
        <v>1063.540053</v>
      </c>
      <c r="M49" s="48">
        <f t="shared" si="32"/>
        <v>433.7380282</v>
      </c>
      <c r="N49" s="48">
        <f t="shared" si="32"/>
        <v>-3570.215296</v>
      </c>
      <c r="O49" s="48">
        <f t="shared" si="28"/>
        <v>1497.278081</v>
      </c>
      <c r="P49" s="48">
        <f t="shared" ref="P49:R49" si="33">SUM(P37:P48)</f>
        <v>-2072.937214</v>
      </c>
      <c r="Q49" s="48">
        <f t="shared" si="33"/>
        <v>130.4838189</v>
      </c>
      <c r="R49" s="48">
        <f t="shared" si="33"/>
        <v>-1942.453396</v>
      </c>
    </row>
    <row r="51">
      <c r="A51" s="1">
        <v>3.0</v>
      </c>
      <c r="B51" s="1" t="s">
        <v>128</v>
      </c>
      <c r="C51" s="1"/>
      <c r="D51" s="1"/>
      <c r="E51" s="1">
        <f>$E$1* POWER((1 -$H$1),A51)</f>
        <v>64029.86688</v>
      </c>
      <c r="F51" s="1" t="s">
        <v>132</v>
      </c>
      <c r="G51" s="8">
        <f>E51/G65</f>
        <v>0.9656577266</v>
      </c>
      <c r="H51" s="1" t="s">
        <v>133</v>
      </c>
      <c r="I51" s="6">
        <f>1-G51</f>
        <v>0.03434227344</v>
      </c>
      <c r="J51" s="1" t="s">
        <v>74</v>
      </c>
      <c r="M51" s="1" t="s">
        <v>78</v>
      </c>
    </row>
    <row r="52">
      <c r="B52" s="44" t="s">
        <v>83</v>
      </c>
      <c r="C52" s="20" t="s">
        <v>88</v>
      </c>
      <c r="D52" s="44" t="s">
        <v>87</v>
      </c>
      <c r="E52" s="44" t="s">
        <v>140</v>
      </c>
      <c r="F52" s="44" t="s">
        <v>135</v>
      </c>
      <c r="G52" s="20" t="s">
        <v>89</v>
      </c>
      <c r="H52" s="20" t="s">
        <v>138</v>
      </c>
      <c r="I52" s="20" t="s">
        <v>139</v>
      </c>
      <c r="J52" s="20" t="s">
        <v>76</v>
      </c>
      <c r="K52" s="20" t="s">
        <v>82</v>
      </c>
      <c r="L52" s="20" t="s">
        <v>109</v>
      </c>
      <c r="M52" s="20" t="s">
        <v>80</v>
      </c>
      <c r="N52" s="20" t="s">
        <v>67</v>
      </c>
      <c r="O52" s="45" t="s">
        <v>114</v>
      </c>
      <c r="P52" s="45" t="s">
        <v>115</v>
      </c>
      <c r="Q52" s="45" t="s">
        <v>60</v>
      </c>
      <c r="R52" s="45" t="s">
        <v>109</v>
      </c>
    </row>
    <row r="53">
      <c r="B53" s="46" t="s">
        <v>117</v>
      </c>
      <c r="C53" s="24">
        <v>31.0</v>
      </c>
      <c r="D53" s="86">
        <v>0.6479166666666667</v>
      </c>
      <c r="E53" s="59">
        <v>0.02731296772</v>
      </c>
      <c r="F53" s="60">
        <f t="shared" ref="F53:F64" si="34">$E$51*E53</f>
        <v>1748.845687</v>
      </c>
      <c r="G53" s="25">
        <v>5726.0</v>
      </c>
      <c r="H53" s="25">
        <f t="shared" ref="H53:H64" si="35">G53-F53</f>
        <v>3977.154313</v>
      </c>
      <c r="I53" s="25">
        <f t="shared" ref="I53:I64" si="36">D53*G53*(1+$I$51)</f>
        <v>3837.379666</v>
      </c>
      <c r="J53" s="64">
        <f>C53*'Rate Codes'!$D$7</f>
        <v>53.490035</v>
      </c>
      <c r="K53" s="25">
        <f>I53*'Rate Codes'!$D$8</f>
        <v>49.70557882</v>
      </c>
      <c r="L53" s="65">
        <f t="shared" ref="L53:L64" si="37">SUM(J53:K53)</f>
        <v>103.1956138</v>
      </c>
      <c r="M53" s="66">
        <f>I53*'Rate Codes'!$D$8</f>
        <v>49.70557882</v>
      </c>
      <c r="N53" s="67">
        <f t="shared" ref="N53:N64" si="38">H53*IF(D53&gt;51%,0.0689,0.33)</f>
        <v>274.0259322</v>
      </c>
      <c r="O53" s="25">
        <f t="shared" ref="O53:O65" si="39">L53+M53</f>
        <v>152.9011926</v>
      </c>
      <c r="P53" s="25">
        <f t="shared" ref="P53:P64" si="40">N53+L53+M53</f>
        <v>426.9271248</v>
      </c>
      <c r="Q53" s="25">
        <f t="shared" ref="Q53:Q64" si="41">(IF(N53&gt;0,N53,0)+O53)*0.05</f>
        <v>21.34635624</v>
      </c>
      <c r="R53" s="25">
        <f t="shared" ref="R53:R64" si="42">P53+Q53</f>
        <v>448.273481</v>
      </c>
    </row>
    <row r="54">
      <c r="B54" s="46" t="s">
        <v>118</v>
      </c>
      <c r="C54" s="24">
        <v>28.0</v>
      </c>
      <c r="D54" s="86">
        <v>0.5868041666666667</v>
      </c>
      <c r="E54" s="59">
        <v>0.04620731865</v>
      </c>
      <c r="F54" s="60">
        <f t="shared" si="34"/>
        <v>2958.648462</v>
      </c>
      <c r="G54" s="25">
        <v>5279.0</v>
      </c>
      <c r="H54" s="25">
        <f t="shared" si="35"/>
        <v>2320.351538</v>
      </c>
      <c r="I54" s="25">
        <f t="shared" si="36"/>
        <v>3204.122602</v>
      </c>
      <c r="J54" s="64">
        <f>C54*'Rate Codes'!$D$7</f>
        <v>48.31358</v>
      </c>
      <c r="K54" s="25">
        <f>I54*'Rate Codes'!$D$8</f>
        <v>41.50300007</v>
      </c>
      <c r="L54" s="65">
        <f t="shared" si="37"/>
        <v>89.81658007</v>
      </c>
      <c r="M54" s="66">
        <f>I54*'Rate Codes'!$D$8</f>
        <v>41.50300007</v>
      </c>
      <c r="N54" s="67">
        <f t="shared" si="38"/>
        <v>159.872221</v>
      </c>
      <c r="O54" s="25">
        <f t="shared" si="39"/>
        <v>131.3195801</v>
      </c>
      <c r="P54" s="25">
        <f t="shared" si="40"/>
        <v>291.1918011</v>
      </c>
      <c r="Q54" s="25">
        <f t="shared" si="41"/>
        <v>14.55959006</v>
      </c>
      <c r="R54" s="25">
        <f t="shared" si="42"/>
        <v>305.7513912</v>
      </c>
    </row>
    <row r="55">
      <c r="B55" s="46" t="s">
        <v>119</v>
      </c>
      <c r="C55" s="24">
        <v>31.0</v>
      </c>
      <c r="D55" s="86">
        <v>0.5083333333333333</v>
      </c>
      <c r="E55" s="59">
        <v>0.08500831624</v>
      </c>
      <c r="F55" s="60">
        <f t="shared" si="34"/>
        <v>5443.071172</v>
      </c>
      <c r="G55" s="25">
        <v>4991.0</v>
      </c>
      <c r="H55" s="25">
        <f t="shared" si="35"/>
        <v>-452.0711721</v>
      </c>
      <c r="I55" s="25">
        <f t="shared" si="36"/>
        <v>2624.221162</v>
      </c>
      <c r="J55" s="64">
        <f>C55*'Rate Codes'!$D$7</f>
        <v>53.490035</v>
      </c>
      <c r="K55" s="25">
        <f>I55*'Rate Codes'!$D$8</f>
        <v>33.99153672</v>
      </c>
      <c r="L55" s="65">
        <f t="shared" si="37"/>
        <v>87.48157172</v>
      </c>
      <c r="M55" s="66">
        <f>I55*'Rate Codes'!$D$8</f>
        <v>33.99153672</v>
      </c>
      <c r="N55" s="67">
        <f t="shared" si="38"/>
        <v>-149.1834868</v>
      </c>
      <c r="O55" s="25">
        <f t="shared" si="39"/>
        <v>121.4731084</v>
      </c>
      <c r="P55" s="25">
        <f t="shared" si="40"/>
        <v>-27.71037836</v>
      </c>
      <c r="Q55" s="25">
        <f t="shared" si="41"/>
        <v>6.073655422</v>
      </c>
      <c r="R55" s="25">
        <f t="shared" si="42"/>
        <v>-21.63672294</v>
      </c>
    </row>
    <row r="56">
      <c r="B56" s="46" t="s">
        <v>120</v>
      </c>
      <c r="C56" s="24">
        <v>30.0</v>
      </c>
      <c r="D56" s="86">
        <v>0.425</v>
      </c>
      <c r="E56" s="59">
        <v>0.108773175</v>
      </c>
      <c r="F56" s="60">
        <f t="shared" si="34"/>
        <v>6964.731915</v>
      </c>
      <c r="G56" s="25">
        <v>4952.0</v>
      </c>
      <c r="H56" s="25">
        <f t="shared" si="35"/>
        <v>-2012.731915</v>
      </c>
      <c r="I56" s="25">
        <f t="shared" si="36"/>
        <v>2176.876749</v>
      </c>
      <c r="J56" s="64">
        <f>C56*'Rate Codes'!$D$7</f>
        <v>51.76455</v>
      </c>
      <c r="K56" s="25">
        <f>I56*'Rate Codes'!$D$8</f>
        <v>28.19708453</v>
      </c>
      <c r="L56" s="65">
        <f t="shared" si="37"/>
        <v>79.96163453</v>
      </c>
      <c r="M56" s="66">
        <f>I56*'Rate Codes'!$D$8</f>
        <v>28.19708453</v>
      </c>
      <c r="N56" s="67">
        <f t="shared" si="38"/>
        <v>-664.2015319</v>
      </c>
      <c r="O56" s="25">
        <f t="shared" si="39"/>
        <v>108.1587191</v>
      </c>
      <c r="P56" s="25">
        <f t="shared" si="40"/>
        <v>-556.0428128</v>
      </c>
      <c r="Q56" s="25">
        <f t="shared" si="41"/>
        <v>5.407935953</v>
      </c>
      <c r="R56" s="25">
        <f t="shared" si="42"/>
        <v>-550.6348769</v>
      </c>
    </row>
    <row r="57">
      <c r="B57" s="46" t="s">
        <v>98</v>
      </c>
      <c r="C57" s="24">
        <v>31.0</v>
      </c>
      <c r="D57" s="86">
        <v>0.35277916666666664</v>
      </c>
      <c r="E57" s="59">
        <v>0.1281742617</v>
      </c>
      <c r="F57" s="60">
        <f t="shared" si="34"/>
        <v>8206.980913</v>
      </c>
      <c r="G57" s="25">
        <v>5559.0</v>
      </c>
      <c r="H57" s="25">
        <f t="shared" si="35"/>
        <v>-2647.980913</v>
      </c>
      <c r="I57" s="25">
        <f t="shared" si="36"/>
        <v>2028.447999</v>
      </c>
      <c r="J57" s="64">
        <f>C57*'Rate Codes'!$D$7</f>
        <v>53.490035</v>
      </c>
      <c r="K57" s="25">
        <f>I57*'Rate Codes'!$D$8</f>
        <v>26.27448693</v>
      </c>
      <c r="L57" s="65">
        <f t="shared" si="37"/>
        <v>79.76452193</v>
      </c>
      <c r="M57" s="66">
        <f>I57*'Rate Codes'!$D$8</f>
        <v>26.27448693</v>
      </c>
      <c r="N57" s="67">
        <f t="shared" si="38"/>
        <v>-873.8337014</v>
      </c>
      <c r="O57" s="25">
        <f t="shared" si="39"/>
        <v>106.0390089</v>
      </c>
      <c r="P57" s="25">
        <f t="shared" si="40"/>
        <v>-767.7946926</v>
      </c>
      <c r="Q57" s="25">
        <f t="shared" si="41"/>
        <v>5.301950443</v>
      </c>
      <c r="R57" s="25">
        <f t="shared" si="42"/>
        <v>-762.4927421</v>
      </c>
    </row>
    <row r="58">
      <c r="B58" s="46" t="s">
        <v>121</v>
      </c>
      <c r="C58" s="24">
        <v>30.0</v>
      </c>
      <c r="D58" s="86">
        <v>0.31388750000000004</v>
      </c>
      <c r="E58" s="59">
        <v>0.1254860808</v>
      </c>
      <c r="F58" s="60">
        <f t="shared" si="34"/>
        <v>8034.857048</v>
      </c>
      <c r="G58" s="25">
        <v>4964.0</v>
      </c>
      <c r="H58" s="25">
        <f t="shared" si="35"/>
        <v>-3070.857048</v>
      </c>
      <c r="I58" s="25">
        <f t="shared" si="36"/>
        <v>1611.647536</v>
      </c>
      <c r="J58" s="64">
        <f>C58*'Rate Codes'!$D$7</f>
        <v>51.76455</v>
      </c>
      <c r="K58" s="25">
        <f>I58*'Rate Codes'!$D$8</f>
        <v>20.87567053</v>
      </c>
      <c r="L58" s="65">
        <f t="shared" si="37"/>
        <v>72.64022053</v>
      </c>
      <c r="M58" s="66">
        <f>I58*'Rate Codes'!$D$8</f>
        <v>20.87567053</v>
      </c>
      <c r="N58" s="67">
        <f t="shared" si="38"/>
        <v>-1013.382826</v>
      </c>
      <c r="O58" s="25">
        <f t="shared" si="39"/>
        <v>93.51589106</v>
      </c>
      <c r="P58" s="25">
        <f t="shared" si="40"/>
        <v>-919.8669349</v>
      </c>
      <c r="Q58" s="25">
        <f t="shared" si="41"/>
        <v>4.675794553</v>
      </c>
      <c r="R58" s="25">
        <f t="shared" si="42"/>
        <v>-915.1911403</v>
      </c>
    </row>
    <row r="59">
      <c r="B59" s="46" t="s">
        <v>122</v>
      </c>
      <c r="C59" s="24">
        <v>31.0</v>
      </c>
      <c r="D59" s="86">
        <v>0.33125</v>
      </c>
      <c r="E59" s="59">
        <v>0.1449493112</v>
      </c>
      <c r="F59" s="60">
        <f t="shared" si="34"/>
        <v>9281.0851</v>
      </c>
      <c r="G59" s="25">
        <v>6634.0</v>
      </c>
      <c r="H59" s="25">
        <f t="shared" si="35"/>
        <v>-2647.0851</v>
      </c>
      <c r="I59" s="25">
        <f t="shared" si="36"/>
        <v>2272.980075</v>
      </c>
      <c r="J59" s="64">
        <f>C59*'Rate Codes'!$D$7</f>
        <v>53.490035</v>
      </c>
      <c r="K59" s="25">
        <f>I59*'Rate Codes'!$D$8</f>
        <v>29.44191091</v>
      </c>
      <c r="L59" s="65">
        <f t="shared" si="37"/>
        <v>82.93194591</v>
      </c>
      <c r="M59" s="66">
        <f>I59*'Rate Codes'!$D$8</f>
        <v>29.44191091</v>
      </c>
      <c r="N59" s="67">
        <f t="shared" si="38"/>
        <v>-873.5380829</v>
      </c>
      <c r="O59" s="25">
        <f t="shared" si="39"/>
        <v>112.3738568</v>
      </c>
      <c r="P59" s="25">
        <f t="shared" si="40"/>
        <v>-761.1642261</v>
      </c>
      <c r="Q59" s="25">
        <f t="shared" si="41"/>
        <v>5.618692841</v>
      </c>
      <c r="R59" s="25">
        <f t="shared" si="42"/>
        <v>-755.5455333</v>
      </c>
    </row>
    <row r="60">
      <c r="B60" s="46" t="s">
        <v>123</v>
      </c>
      <c r="C60" s="24">
        <v>31.0</v>
      </c>
      <c r="D60" s="86">
        <v>0.3951375</v>
      </c>
      <c r="E60" s="59">
        <v>0.1246952409</v>
      </c>
      <c r="F60" s="60">
        <f t="shared" si="34"/>
        <v>7984.219675</v>
      </c>
      <c r="G60" s="25">
        <v>5909.0</v>
      </c>
      <c r="H60" s="25">
        <f t="shared" si="35"/>
        <v>-2075.219675</v>
      </c>
      <c r="I60" s="25">
        <f t="shared" si="36"/>
        <v>2415.052145</v>
      </c>
      <c r="J60" s="64">
        <f>C60*'Rate Codes'!$D$7</f>
        <v>53.490035</v>
      </c>
      <c r="K60" s="25">
        <f>I60*'Rate Codes'!$D$8</f>
        <v>31.28217044</v>
      </c>
      <c r="L60" s="65">
        <f t="shared" si="37"/>
        <v>84.77220544</v>
      </c>
      <c r="M60" s="66">
        <f>I60*'Rate Codes'!$D$8</f>
        <v>31.28217044</v>
      </c>
      <c r="N60" s="67">
        <f t="shared" si="38"/>
        <v>-684.8224927</v>
      </c>
      <c r="O60" s="25">
        <f t="shared" si="39"/>
        <v>116.0543759</v>
      </c>
      <c r="P60" s="25">
        <f t="shared" si="40"/>
        <v>-568.7681168</v>
      </c>
      <c r="Q60" s="25">
        <f t="shared" si="41"/>
        <v>5.802718794</v>
      </c>
      <c r="R60" s="25">
        <f t="shared" si="42"/>
        <v>-562.965398</v>
      </c>
    </row>
    <row r="61">
      <c r="B61" s="46" t="s">
        <v>124</v>
      </c>
      <c r="C61" s="24">
        <v>30.0</v>
      </c>
      <c r="D61" s="86">
        <v>0.4756958333333334</v>
      </c>
      <c r="E61" s="59">
        <v>0.09825803101</v>
      </c>
      <c r="F61" s="60">
        <f t="shared" si="34"/>
        <v>6291.448645</v>
      </c>
      <c r="G61" s="25">
        <v>5270.0</v>
      </c>
      <c r="H61" s="25">
        <f t="shared" si="35"/>
        <v>-1021.448645</v>
      </c>
      <c r="I61" s="25">
        <f t="shared" si="36"/>
        <v>2593.010272</v>
      </c>
      <c r="J61" s="64">
        <f>C61*'Rate Codes'!$D$7</f>
        <v>51.76455</v>
      </c>
      <c r="K61" s="25">
        <f>I61*'Rate Codes'!$D$8</f>
        <v>33.58726206</v>
      </c>
      <c r="L61" s="65">
        <f t="shared" si="37"/>
        <v>85.35181206</v>
      </c>
      <c r="M61" s="66">
        <f>I61*'Rate Codes'!$D$8</f>
        <v>33.58726206</v>
      </c>
      <c r="N61" s="67">
        <f t="shared" si="38"/>
        <v>-337.0780528</v>
      </c>
      <c r="O61" s="25">
        <f t="shared" si="39"/>
        <v>118.9390741</v>
      </c>
      <c r="P61" s="25">
        <f t="shared" si="40"/>
        <v>-218.1389787</v>
      </c>
      <c r="Q61" s="25">
        <f t="shared" si="41"/>
        <v>5.946953706</v>
      </c>
      <c r="R61" s="25">
        <f t="shared" si="42"/>
        <v>-212.192025</v>
      </c>
    </row>
    <row r="62">
      <c r="B62" s="46" t="s">
        <v>125</v>
      </c>
      <c r="C62" s="24">
        <v>31.0</v>
      </c>
      <c r="D62" s="86">
        <v>0.5590291666666667</v>
      </c>
      <c r="E62" s="59">
        <v>0.06840443866</v>
      </c>
      <c r="F62" s="60">
        <f t="shared" si="34"/>
        <v>4379.927101</v>
      </c>
      <c r="G62" s="25">
        <v>5946.0</v>
      </c>
      <c r="H62" s="25">
        <f t="shared" si="35"/>
        <v>1566.072899</v>
      </c>
      <c r="I62" s="25">
        <f t="shared" si="36"/>
        <v>3438.14071</v>
      </c>
      <c r="J62" s="64">
        <f>C62*'Rate Codes'!$D$7</f>
        <v>53.490035</v>
      </c>
      <c r="K62" s="25">
        <f>I62*'Rate Codes'!$D$8</f>
        <v>44.53423662</v>
      </c>
      <c r="L62" s="65">
        <f t="shared" si="37"/>
        <v>98.02427162</v>
      </c>
      <c r="M62" s="66">
        <f>I62*'Rate Codes'!$D$8</f>
        <v>44.53423662</v>
      </c>
      <c r="N62" s="67">
        <f t="shared" si="38"/>
        <v>107.9024227</v>
      </c>
      <c r="O62" s="25">
        <f t="shared" si="39"/>
        <v>142.5585082</v>
      </c>
      <c r="P62" s="25">
        <f t="shared" si="40"/>
        <v>250.460931</v>
      </c>
      <c r="Q62" s="25">
        <f t="shared" si="41"/>
        <v>12.52304655</v>
      </c>
      <c r="R62" s="25">
        <f t="shared" si="42"/>
        <v>262.9839775</v>
      </c>
    </row>
    <row r="63">
      <c r="B63" s="46" t="s">
        <v>126</v>
      </c>
      <c r="C63" s="24">
        <v>30.0</v>
      </c>
      <c r="D63" s="86">
        <v>0.63125</v>
      </c>
      <c r="E63" s="59">
        <v>0.0271408052</v>
      </c>
      <c r="F63" s="60">
        <f t="shared" si="34"/>
        <v>1737.822144</v>
      </c>
      <c r="G63" s="25">
        <v>5587.0</v>
      </c>
      <c r="H63" s="25">
        <f t="shared" si="35"/>
        <v>3849.177856</v>
      </c>
      <c r="I63" s="25">
        <f t="shared" si="36"/>
        <v>3647.911865</v>
      </c>
      <c r="J63" s="64">
        <f>C63*'Rate Codes'!$D$7</f>
        <v>51.76455</v>
      </c>
      <c r="K63" s="25">
        <f>I63*'Rate Codes'!$D$8</f>
        <v>47.25140239</v>
      </c>
      <c r="L63" s="65">
        <f t="shared" si="37"/>
        <v>99.01595239</v>
      </c>
      <c r="M63" s="66">
        <f>I63*'Rate Codes'!$D$8</f>
        <v>47.25140239</v>
      </c>
      <c r="N63" s="67">
        <f t="shared" si="38"/>
        <v>265.2083543</v>
      </c>
      <c r="O63" s="25">
        <f t="shared" si="39"/>
        <v>146.2673548</v>
      </c>
      <c r="P63" s="25">
        <f t="shared" si="40"/>
        <v>411.4757091</v>
      </c>
      <c r="Q63" s="25">
        <f t="shared" si="41"/>
        <v>20.57378545</v>
      </c>
      <c r="R63" s="25">
        <f t="shared" si="42"/>
        <v>432.0494945</v>
      </c>
    </row>
    <row r="64">
      <c r="B64" s="46" t="s">
        <v>127</v>
      </c>
      <c r="C64" s="24">
        <v>31.0</v>
      </c>
      <c r="D64" s="86">
        <v>0.6680541666666667</v>
      </c>
      <c r="E64" s="59">
        <v>0.01559005293</v>
      </c>
      <c r="F64" s="60">
        <f t="shared" si="34"/>
        <v>998.2290137</v>
      </c>
      <c r="G64" s="25">
        <v>5490.0</v>
      </c>
      <c r="H64" s="25">
        <f t="shared" si="35"/>
        <v>4491.770986</v>
      </c>
      <c r="I64" s="25">
        <f t="shared" si="36"/>
        <v>3793.571694</v>
      </c>
      <c r="J64" s="64">
        <f>C64*'Rate Codes'!$D$7</f>
        <v>53.490035</v>
      </c>
      <c r="K64" s="25">
        <f>I64*'Rate Codes'!$D$8</f>
        <v>49.13813415</v>
      </c>
      <c r="L64" s="65">
        <f t="shared" si="37"/>
        <v>102.6281691</v>
      </c>
      <c r="M64" s="66">
        <f>I64*'Rate Codes'!$D$8</f>
        <v>49.13813415</v>
      </c>
      <c r="N64" s="67">
        <f t="shared" si="38"/>
        <v>309.483021</v>
      </c>
      <c r="O64" s="25">
        <f t="shared" si="39"/>
        <v>151.7663033</v>
      </c>
      <c r="P64" s="25">
        <f t="shared" si="40"/>
        <v>461.2493243</v>
      </c>
      <c r="Q64" s="25">
        <f t="shared" si="41"/>
        <v>23.06246621</v>
      </c>
      <c r="R64" s="25">
        <f t="shared" si="42"/>
        <v>484.3117905</v>
      </c>
    </row>
    <row r="65">
      <c r="B65" s="44" t="s">
        <v>109</v>
      </c>
      <c r="C65" s="44"/>
      <c r="D65" s="44"/>
      <c r="E65" s="68">
        <f t="shared" ref="E65:N65" si="43">SUM(E53:E64)</f>
        <v>1</v>
      </c>
      <c r="F65" s="69">
        <f t="shared" si="43"/>
        <v>64029.86688</v>
      </c>
      <c r="G65" s="48">
        <f t="shared" si="43"/>
        <v>66307</v>
      </c>
      <c r="H65" s="48">
        <f t="shared" si="43"/>
        <v>2277.133124</v>
      </c>
      <c r="I65" s="48">
        <f t="shared" si="43"/>
        <v>33643.36248</v>
      </c>
      <c r="J65" s="48">
        <f t="shared" si="43"/>
        <v>629.802025</v>
      </c>
      <c r="K65" s="48">
        <f t="shared" si="43"/>
        <v>435.7824742</v>
      </c>
      <c r="L65" s="48">
        <f t="shared" si="43"/>
        <v>1065.584499</v>
      </c>
      <c r="M65" s="48">
        <f t="shared" si="43"/>
        <v>435.7824742</v>
      </c>
      <c r="N65" s="48">
        <f t="shared" si="43"/>
        <v>-3479.548223</v>
      </c>
      <c r="O65" s="48">
        <f t="shared" si="39"/>
        <v>1501.366973</v>
      </c>
      <c r="P65" s="48">
        <f t="shared" ref="P65:R65" si="44">SUM(P53:P64)</f>
        <v>-1978.18125</v>
      </c>
      <c r="Q65" s="48">
        <f t="shared" si="44"/>
        <v>130.8929462</v>
      </c>
      <c r="R65" s="48">
        <f t="shared" si="44"/>
        <v>-1847.288304</v>
      </c>
    </row>
    <row r="67">
      <c r="A67" s="76">
        <v>4.0</v>
      </c>
      <c r="B67" s="12" t="s">
        <v>128</v>
      </c>
      <c r="C67" s="12"/>
      <c r="D67" s="15"/>
      <c r="E67" s="15">
        <f>$E$1* POWER((1 -$H$1),A67)</f>
        <v>63709.71754</v>
      </c>
      <c r="F67" s="1" t="s">
        <v>132</v>
      </c>
      <c r="G67" s="8">
        <f>E67/G81</f>
        <v>0.9608294379</v>
      </c>
      <c r="H67" s="1" t="s">
        <v>133</v>
      </c>
      <c r="I67" s="6">
        <f>1-G67</f>
        <v>0.03917056207</v>
      </c>
      <c r="J67" s="12" t="s">
        <v>74</v>
      </c>
      <c r="M67" s="12" t="s">
        <v>78</v>
      </c>
      <c r="N67" s="12"/>
      <c r="O67" s="12"/>
      <c r="P67" s="12"/>
      <c r="Q67" s="12"/>
      <c r="R67" s="12"/>
    </row>
    <row r="68">
      <c r="A68" s="12"/>
      <c r="B68" s="77" t="s">
        <v>83</v>
      </c>
      <c r="C68" s="78" t="s">
        <v>88</v>
      </c>
      <c r="D68" s="44" t="s">
        <v>87</v>
      </c>
      <c r="E68" s="77" t="s">
        <v>140</v>
      </c>
      <c r="F68" s="77" t="s">
        <v>135</v>
      </c>
      <c r="G68" s="78" t="s">
        <v>89</v>
      </c>
      <c r="H68" s="78" t="s">
        <v>138</v>
      </c>
      <c r="I68" s="20" t="s">
        <v>139</v>
      </c>
      <c r="J68" s="78" t="s">
        <v>76</v>
      </c>
      <c r="K68" s="78" t="s">
        <v>82</v>
      </c>
      <c r="L68" s="78" t="s">
        <v>109</v>
      </c>
      <c r="M68" s="78" t="s">
        <v>80</v>
      </c>
      <c r="N68" s="78" t="s">
        <v>67</v>
      </c>
      <c r="O68" s="45" t="s">
        <v>114</v>
      </c>
      <c r="P68" s="79" t="s">
        <v>115</v>
      </c>
      <c r="Q68" s="79" t="s">
        <v>60</v>
      </c>
      <c r="R68" s="79" t="s">
        <v>109</v>
      </c>
    </row>
    <row r="69">
      <c r="A69" s="12"/>
      <c r="B69" s="80" t="s">
        <v>117</v>
      </c>
      <c r="C69" s="87">
        <v>31.0</v>
      </c>
      <c r="D69" s="86">
        <v>0.6479166666666667</v>
      </c>
      <c r="E69" s="88">
        <v>0.02731296772</v>
      </c>
      <c r="F69" s="89">
        <f t="shared" ref="F69:F80" si="45">$E$67*E69</f>
        <v>1740.101459</v>
      </c>
      <c r="G69" s="81">
        <v>5726.0</v>
      </c>
      <c r="H69" s="81">
        <f t="shared" ref="H69:H80" si="46">G69-F69</f>
        <v>3985.898541</v>
      </c>
      <c r="I69" s="25">
        <f t="shared" ref="I69:I80" si="47">D69*G69*(1+$I$67)</f>
        <v>3855.292476</v>
      </c>
      <c r="J69" s="64">
        <f>C69*'Rate Codes'!$D$7</f>
        <v>53.490035</v>
      </c>
      <c r="K69" s="25">
        <f>I69*'Rate Codes'!$D$8</f>
        <v>49.93760344</v>
      </c>
      <c r="L69" s="65">
        <f t="shared" ref="L69:L80" si="48">SUM(J69:K69)</f>
        <v>103.4276384</v>
      </c>
      <c r="M69" s="66">
        <f>I69*'Rate Codes'!$D$8</f>
        <v>49.93760344</v>
      </c>
      <c r="N69" s="67">
        <f t="shared" ref="N69:N80" si="49">H69*IF(D69&gt;51%,0.0689,0.33)</f>
        <v>274.6284095</v>
      </c>
      <c r="O69" s="25">
        <f t="shared" ref="O69:O81" si="50">L69+M69</f>
        <v>153.3652419</v>
      </c>
      <c r="P69" s="81">
        <f t="shared" ref="P69:P80" si="51">N69+L69+M69</f>
        <v>427.9936514</v>
      </c>
      <c r="Q69" s="25">
        <f t="shared" ref="Q69:Q80" si="52">(IF(N69&gt;0,N69,0)+O69)*0.05</f>
        <v>21.39968257</v>
      </c>
      <c r="R69" s="81">
        <f t="shared" ref="R69:R80" si="53">P69+Q69</f>
        <v>449.393334</v>
      </c>
    </row>
    <row r="70">
      <c r="A70" s="12"/>
      <c r="B70" s="80" t="s">
        <v>118</v>
      </c>
      <c r="C70" s="87">
        <v>28.0</v>
      </c>
      <c r="D70" s="86">
        <v>0.5868041666666667</v>
      </c>
      <c r="E70" s="88">
        <v>0.04620731865</v>
      </c>
      <c r="F70" s="89">
        <f t="shared" si="45"/>
        <v>2943.85522</v>
      </c>
      <c r="G70" s="81">
        <v>5279.0</v>
      </c>
      <c r="H70" s="81">
        <f t="shared" si="46"/>
        <v>2335.14478</v>
      </c>
      <c r="I70" s="25">
        <f t="shared" si="47"/>
        <v>3219.079381</v>
      </c>
      <c r="J70" s="64">
        <f>C70*'Rate Codes'!$D$7</f>
        <v>48.31358</v>
      </c>
      <c r="K70" s="25">
        <f>I70*'Rate Codes'!$D$8</f>
        <v>41.69673523</v>
      </c>
      <c r="L70" s="65">
        <f t="shared" si="48"/>
        <v>90.01031523</v>
      </c>
      <c r="M70" s="66">
        <f>I70*'Rate Codes'!$D$8</f>
        <v>41.69673523</v>
      </c>
      <c r="N70" s="67">
        <f t="shared" si="49"/>
        <v>160.8914754</v>
      </c>
      <c r="O70" s="25">
        <f t="shared" si="50"/>
        <v>131.7070505</v>
      </c>
      <c r="P70" s="81">
        <f t="shared" si="51"/>
        <v>292.5985258</v>
      </c>
      <c r="Q70" s="25">
        <f t="shared" si="52"/>
        <v>14.62992629</v>
      </c>
      <c r="R70" s="81">
        <f t="shared" si="53"/>
        <v>307.2284521</v>
      </c>
    </row>
    <row r="71">
      <c r="A71" s="12"/>
      <c r="B71" s="80" t="s">
        <v>119</v>
      </c>
      <c r="C71" s="87">
        <v>31.0</v>
      </c>
      <c r="D71" s="86">
        <v>0.5083333333333333</v>
      </c>
      <c r="E71" s="88">
        <v>0.08500831624</v>
      </c>
      <c r="F71" s="89">
        <f t="shared" si="45"/>
        <v>5415.855816</v>
      </c>
      <c r="G71" s="81">
        <v>4991.0</v>
      </c>
      <c r="H71" s="81">
        <f t="shared" si="46"/>
        <v>-424.8558163</v>
      </c>
      <c r="I71" s="25">
        <f t="shared" si="47"/>
        <v>2636.470973</v>
      </c>
      <c r="J71" s="64">
        <f>C71*'Rate Codes'!$D$7</f>
        <v>53.490035</v>
      </c>
      <c r="K71" s="25">
        <f>I71*'Rate Codes'!$D$8</f>
        <v>34.15020852</v>
      </c>
      <c r="L71" s="65">
        <f t="shared" si="48"/>
        <v>87.64024352</v>
      </c>
      <c r="M71" s="66">
        <f>I71*'Rate Codes'!$D$8</f>
        <v>34.15020852</v>
      </c>
      <c r="N71" s="67">
        <f t="shared" si="49"/>
        <v>-140.2024194</v>
      </c>
      <c r="O71" s="25">
        <f t="shared" si="50"/>
        <v>121.790452</v>
      </c>
      <c r="P71" s="81">
        <f t="shared" si="51"/>
        <v>-18.41196733</v>
      </c>
      <c r="Q71" s="25">
        <f t="shared" si="52"/>
        <v>6.089522602</v>
      </c>
      <c r="R71" s="81">
        <f t="shared" si="53"/>
        <v>-12.32244473</v>
      </c>
    </row>
    <row r="72">
      <c r="A72" s="12"/>
      <c r="B72" s="80" t="s">
        <v>120</v>
      </c>
      <c r="C72" s="87">
        <v>30.0</v>
      </c>
      <c r="D72" s="86">
        <v>0.425</v>
      </c>
      <c r="E72" s="88">
        <v>0.108773175</v>
      </c>
      <c r="F72" s="89">
        <f t="shared" si="45"/>
        <v>6929.908255</v>
      </c>
      <c r="G72" s="81">
        <v>4952.0</v>
      </c>
      <c r="H72" s="81">
        <f t="shared" si="46"/>
        <v>-1977.908255</v>
      </c>
      <c r="I72" s="25">
        <f t="shared" si="47"/>
        <v>2187.038365</v>
      </c>
      <c r="J72" s="64">
        <f>C72*'Rate Codes'!$D$7</f>
        <v>51.76455</v>
      </c>
      <c r="K72" s="25">
        <f>I72*'Rate Codes'!$D$8</f>
        <v>28.32870794</v>
      </c>
      <c r="L72" s="65">
        <f t="shared" si="48"/>
        <v>80.09325794</v>
      </c>
      <c r="M72" s="66">
        <f>I72*'Rate Codes'!$D$8</f>
        <v>28.32870794</v>
      </c>
      <c r="N72" s="67">
        <f t="shared" si="49"/>
        <v>-652.7097242</v>
      </c>
      <c r="O72" s="25">
        <f t="shared" si="50"/>
        <v>108.4219659</v>
      </c>
      <c r="P72" s="81">
        <f t="shared" si="51"/>
        <v>-544.2877583</v>
      </c>
      <c r="Q72" s="25">
        <f t="shared" si="52"/>
        <v>5.421098294</v>
      </c>
      <c r="R72" s="81">
        <f t="shared" si="53"/>
        <v>-538.8666601</v>
      </c>
    </row>
    <row r="73">
      <c r="A73" s="12"/>
      <c r="B73" s="80" t="s">
        <v>98</v>
      </c>
      <c r="C73" s="87">
        <v>31.0</v>
      </c>
      <c r="D73" s="86">
        <v>0.35277916666666664</v>
      </c>
      <c r="E73" s="88">
        <v>0.1281742617</v>
      </c>
      <c r="F73" s="89">
        <f t="shared" si="45"/>
        <v>8165.946009</v>
      </c>
      <c r="G73" s="81">
        <v>5559.0</v>
      </c>
      <c r="H73" s="81">
        <f t="shared" si="46"/>
        <v>-2606.946009</v>
      </c>
      <c r="I73" s="25">
        <f t="shared" si="47"/>
        <v>2037.916753</v>
      </c>
      <c r="J73" s="64">
        <f>C73*'Rate Codes'!$D$7</f>
        <v>53.490035</v>
      </c>
      <c r="K73" s="25">
        <f>I73*'Rate Codes'!$D$8</f>
        <v>26.3971357</v>
      </c>
      <c r="L73" s="65">
        <f t="shared" si="48"/>
        <v>79.8871707</v>
      </c>
      <c r="M73" s="66">
        <f>I73*'Rate Codes'!$D$8</f>
        <v>26.3971357</v>
      </c>
      <c r="N73" s="67">
        <f t="shared" si="49"/>
        <v>-860.2921829</v>
      </c>
      <c r="O73" s="25">
        <f t="shared" si="50"/>
        <v>106.2843064</v>
      </c>
      <c r="P73" s="81">
        <f t="shared" si="51"/>
        <v>-754.0078765</v>
      </c>
      <c r="Q73" s="25">
        <f t="shared" si="52"/>
        <v>5.31421532</v>
      </c>
      <c r="R73" s="81">
        <f t="shared" si="53"/>
        <v>-748.6936612</v>
      </c>
    </row>
    <row r="74">
      <c r="A74" s="12"/>
      <c r="B74" s="80" t="s">
        <v>121</v>
      </c>
      <c r="C74" s="87">
        <v>30.0</v>
      </c>
      <c r="D74" s="86">
        <v>0.31388750000000004</v>
      </c>
      <c r="E74" s="88">
        <v>0.1254860808</v>
      </c>
      <c r="F74" s="89">
        <f t="shared" si="45"/>
        <v>7994.682763</v>
      </c>
      <c r="G74" s="81">
        <v>4964.0</v>
      </c>
      <c r="H74" s="81">
        <f t="shared" si="46"/>
        <v>-3030.682763</v>
      </c>
      <c r="I74" s="25">
        <f t="shared" si="47"/>
        <v>1619.170674</v>
      </c>
      <c r="J74" s="64">
        <f>C74*'Rate Codes'!$D$7</f>
        <v>51.76455</v>
      </c>
      <c r="K74" s="25">
        <f>I74*'Rate Codes'!$D$8</f>
        <v>20.97311774</v>
      </c>
      <c r="L74" s="65">
        <f t="shared" si="48"/>
        <v>72.73766774</v>
      </c>
      <c r="M74" s="66">
        <f>I74*'Rate Codes'!$D$8</f>
        <v>20.97311774</v>
      </c>
      <c r="N74" s="67">
        <f t="shared" si="49"/>
        <v>-1000.125312</v>
      </c>
      <c r="O74" s="25">
        <f t="shared" si="50"/>
        <v>93.71078547</v>
      </c>
      <c r="P74" s="81">
        <f t="shared" si="51"/>
        <v>-906.4145263</v>
      </c>
      <c r="Q74" s="25">
        <f t="shared" si="52"/>
        <v>4.685539274</v>
      </c>
      <c r="R74" s="81">
        <f t="shared" si="53"/>
        <v>-901.7289871</v>
      </c>
    </row>
    <row r="75">
      <c r="A75" s="12"/>
      <c r="B75" s="80" t="s">
        <v>122</v>
      </c>
      <c r="C75" s="87">
        <v>31.0</v>
      </c>
      <c r="D75" s="86">
        <v>0.33125</v>
      </c>
      <c r="E75" s="88">
        <v>0.1449493112</v>
      </c>
      <c r="F75" s="89">
        <f t="shared" si="45"/>
        <v>9234.679674</v>
      </c>
      <c r="G75" s="81">
        <v>6634.0</v>
      </c>
      <c r="H75" s="81">
        <f t="shared" si="46"/>
        <v>-2600.679674</v>
      </c>
      <c r="I75" s="25">
        <f t="shared" si="47"/>
        <v>2283.5903</v>
      </c>
      <c r="J75" s="64">
        <f>C75*'Rate Codes'!$D$7</f>
        <v>53.490035</v>
      </c>
      <c r="K75" s="25">
        <f>I75*'Rate Codes'!$D$8</f>
        <v>29.57934515</v>
      </c>
      <c r="L75" s="65">
        <f t="shared" si="48"/>
        <v>83.06938015</v>
      </c>
      <c r="M75" s="66">
        <f>I75*'Rate Codes'!$D$8</f>
        <v>29.57934515</v>
      </c>
      <c r="N75" s="67">
        <f t="shared" si="49"/>
        <v>-858.2242925</v>
      </c>
      <c r="O75" s="25">
        <f t="shared" si="50"/>
        <v>112.6487253</v>
      </c>
      <c r="P75" s="81">
        <f t="shared" si="51"/>
        <v>-745.5755672</v>
      </c>
      <c r="Q75" s="25">
        <f t="shared" si="52"/>
        <v>5.632436265</v>
      </c>
      <c r="R75" s="81">
        <f t="shared" si="53"/>
        <v>-739.9431309</v>
      </c>
    </row>
    <row r="76">
      <c r="A76" s="12"/>
      <c r="B76" s="80" t="s">
        <v>123</v>
      </c>
      <c r="C76" s="87">
        <v>31.0</v>
      </c>
      <c r="D76" s="86">
        <v>0.3951375</v>
      </c>
      <c r="E76" s="88">
        <v>0.1246952409</v>
      </c>
      <c r="F76" s="89">
        <f t="shared" si="45"/>
        <v>7944.298576</v>
      </c>
      <c r="G76" s="81">
        <v>5909.0</v>
      </c>
      <c r="H76" s="81">
        <f t="shared" si="46"/>
        <v>-2035.298576</v>
      </c>
      <c r="I76" s="25">
        <f t="shared" si="47"/>
        <v>2426.325559</v>
      </c>
      <c r="J76" s="64">
        <f>C76*'Rate Codes'!$D$7</f>
        <v>53.490035</v>
      </c>
      <c r="K76" s="25">
        <f>I76*'Rate Codes'!$D$8</f>
        <v>31.42819497</v>
      </c>
      <c r="L76" s="65">
        <f t="shared" si="48"/>
        <v>84.91822997</v>
      </c>
      <c r="M76" s="66">
        <f>I76*'Rate Codes'!$D$8</f>
        <v>31.42819497</v>
      </c>
      <c r="N76" s="67">
        <f t="shared" si="49"/>
        <v>-671.6485302</v>
      </c>
      <c r="O76" s="25">
        <f t="shared" si="50"/>
        <v>116.3464249</v>
      </c>
      <c r="P76" s="81">
        <f t="shared" si="51"/>
        <v>-555.3021053</v>
      </c>
      <c r="Q76" s="25">
        <f t="shared" si="52"/>
        <v>5.817321247</v>
      </c>
      <c r="R76" s="81">
        <f t="shared" si="53"/>
        <v>-549.484784</v>
      </c>
    </row>
    <row r="77">
      <c r="A77" s="12"/>
      <c r="B77" s="80" t="s">
        <v>124</v>
      </c>
      <c r="C77" s="87">
        <v>30.0</v>
      </c>
      <c r="D77" s="86">
        <v>0.4756958333333334</v>
      </c>
      <c r="E77" s="88">
        <v>0.09825803101</v>
      </c>
      <c r="F77" s="89">
        <f t="shared" si="45"/>
        <v>6259.991402</v>
      </c>
      <c r="G77" s="81">
        <v>5270.0</v>
      </c>
      <c r="H77" s="81">
        <f t="shared" si="46"/>
        <v>-989.9914017</v>
      </c>
      <c r="I77" s="25">
        <f t="shared" si="47"/>
        <v>2605.114391</v>
      </c>
      <c r="J77" s="64">
        <f>C77*'Rate Codes'!$D$7</f>
        <v>51.76455</v>
      </c>
      <c r="K77" s="25">
        <f>I77*'Rate Codes'!$D$8</f>
        <v>33.74404671</v>
      </c>
      <c r="L77" s="65">
        <f t="shared" si="48"/>
        <v>85.50859671</v>
      </c>
      <c r="M77" s="66">
        <f>I77*'Rate Codes'!$D$8</f>
        <v>33.74404671</v>
      </c>
      <c r="N77" s="67">
        <f t="shared" si="49"/>
        <v>-326.6971626</v>
      </c>
      <c r="O77" s="25">
        <f t="shared" si="50"/>
        <v>119.2526434</v>
      </c>
      <c r="P77" s="81">
        <f t="shared" si="51"/>
        <v>-207.4445192</v>
      </c>
      <c r="Q77" s="25">
        <f t="shared" si="52"/>
        <v>5.962632171</v>
      </c>
      <c r="R77" s="81">
        <f t="shared" si="53"/>
        <v>-201.481887</v>
      </c>
    </row>
    <row r="78">
      <c r="A78" s="12"/>
      <c r="B78" s="80" t="s">
        <v>125</v>
      </c>
      <c r="C78" s="87">
        <v>31.0</v>
      </c>
      <c r="D78" s="86">
        <v>0.5590291666666667</v>
      </c>
      <c r="E78" s="88">
        <v>0.06840443866</v>
      </c>
      <c r="F78" s="89">
        <f t="shared" si="45"/>
        <v>4358.027466</v>
      </c>
      <c r="G78" s="81">
        <v>5946.0</v>
      </c>
      <c r="H78" s="81">
        <f t="shared" si="46"/>
        <v>1587.972534</v>
      </c>
      <c r="I78" s="25">
        <f t="shared" si="47"/>
        <v>3454.189881</v>
      </c>
      <c r="J78" s="64">
        <f>C78*'Rate Codes'!$D$7</f>
        <v>53.490035</v>
      </c>
      <c r="K78" s="25">
        <f>I78*'Rate Codes'!$D$8</f>
        <v>44.74212153</v>
      </c>
      <c r="L78" s="65">
        <f t="shared" si="48"/>
        <v>98.23215653</v>
      </c>
      <c r="M78" s="66">
        <f>I78*'Rate Codes'!$D$8</f>
        <v>44.74212153</v>
      </c>
      <c r="N78" s="67">
        <f t="shared" si="49"/>
        <v>109.4113076</v>
      </c>
      <c r="O78" s="25">
        <f t="shared" si="50"/>
        <v>142.9742781</v>
      </c>
      <c r="P78" s="81">
        <f t="shared" si="51"/>
        <v>252.3855857</v>
      </c>
      <c r="Q78" s="25">
        <f t="shared" si="52"/>
        <v>12.61927928</v>
      </c>
      <c r="R78" s="81">
        <f t="shared" si="53"/>
        <v>265.004865</v>
      </c>
    </row>
    <row r="79">
      <c r="A79" s="12"/>
      <c r="B79" s="80" t="s">
        <v>126</v>
      </c>
      <c r="C79" s="87">
        <v>30.0</v>
      </c>
      <c r="D79" s="86">
        <v>0.63125</v>
      </c>
      <c r="E79" s="88">
        <v>0.0271408052</v>
      </c>
      <c r="F79" s="89">
        <f t="shared" si="45"/>
        <v>1729.133033</v>
      </c>
      <c r="G79" s="81">
        <v>5587.0</v>
      </c>
      <c r="H79" s="81">
        <f t="shared" si="46"/>
        <v>3857.866967</v>
      </c>
      <c r="I79" s="25">
        <f t="shared" si="47"/>
        <v>3664.940244</v>
      </c>
      <c r="J79" s="64">
        <f>C79*'Rate Codes'!$D$7</f>
        <v>51.76455</v>
      </c>
      <c r="K79" s="25">
        <f>I79*'Rate Codes'!$D$8</f>
        <v>47.47197097</v>
      </c>
      <c r="L79" s="65">
        <f t="shared" si="48"/>
        <v>99.23652097</v>
      </c>
      <c r="M79" s="66">
        <f>I79*'Rate Codes'!$D$8</f>
        <v>47.47197097</v>
      </c>
      <c r="N79" s="67">
        <f t="shared" si="49"/>
        <v>265.807034</v>
      </c>
      <c r="O79" s="25">
        <f t="shared" si="50"/>
        <v>146.7084919</v>
      </c>
      <c r="P79" s="81">
        <f t="shared" si="51"/>
        <v>412.515526</v>
      </c>
      <c r="Q79" s="25">
        <f t="shared" si="52"/>
        <v>20.6257763</v>
      </c>
      <c r="R79" s="81">
        <f t="shared" si="53"/>
        <v>433.1413023</v>
      </c>
    </row>
    <row r="80">
      <c r="A80" s="12"/>
      <c r="B80" s="80" t="s">
        <v>127</v>
      </c>
      <c r="C80" s="87">
        <v>31.0</v>
      </c>
      <c r="D80" s="86">
        <v>0.6680541666666667</v>
      </c>
      <c r="E80" s="88">
        <v>0.01559005293</v>
      </c>
      <c r="F80" s="89">
        <f t="shared" si="45"/>
        <v>993.2378686</v>
      </c>
      <c r="G80" s="81">
        <v>5490.0</v>
      </c>
      <c r="H80" s="81">
        <f t="shared" si="46"/>
        <v>4496.762131</v>
      </c>
      <c r="I80" s="25">
        <f t="shared" si="47"/>
        <v>3811.280009</v>
      </c>
      <c r="J80" s="64">
        <f>C80*'Rate Codes'!$D$7</f>
        <v>53.490035</v>
      </c>
      <c r="K80" s="25">
        <f>I80*'Rate Codes'!$D$8</f>
        <v>49.36750996</v>
      </c>
      <c r="L80" s="65">
        <f t="shared" si="48"/>
        <v>102.857545</v>
      </c>
      <c r="M80" s="66">
        <f>I80*'Rate Codes'!$D$8</f>
        <v>49.36750996</v>
      </c>
      <c r="N80" s="67">
        <f t="shared" si="49"/>
        <v>309.8269109</v>
      </c>
      <c r="O80" s="25">
        <f t="shared" si="50"/>
        <v>152.2250549</v>
      </c>
      <c r="P80" s="81">
        <f t="shared" si="51"/>
        <v>462.0519658</v>
      </c>
      <c r="Q80" s="25">
        <f t="shared" si="52"/>
        <v>23.10259829</v>
      </c>
      <c r="R80" s="81">
        <f t="shared" si="53"/>
        <v>485.1545641</v>
      </c>
    </row>
    <row r="81">
      <c r="A81" s="12"/>
      <c r="B81" s="77" t="s">
        <v>109</v>
      </c>
      <c r="C81" s="82"/>
      <c r="D81" s="83"/>
      <c r="E81" s="83">
        <f t="shared" ref="E81:N81" si="54">SUM(E69:E80)</f>
        <v>1</v>
      </c>
      <c r="F81" s="84">
        <f t="shared" si="54"/>
        <v>63709.71754</v>
      </c>
      <c r="G81" s="85">
        <f t="shared" si="54"/>
        <v>66307</v>
      </c>
      <c r="H81" s="85">
        <f t="shared" si="54"/>
        <v>2597.282459</v>
      </c>
      <c r="I81" s="48">
        <f t="shared" si="54"/>
        <v>33800.40901</v>
      </c>
      <c r="J81" s="85">
        <f t="shared" si="54"/>
        <v>629.802025</v>
      </c>
      <c r="K81" s="85">
        <f t="shared" si="54"/>
        <v>437.8166979</v>
      </c>
      <c r="L81" s="85">
        <f t="shared" si="54"/>
        <v>1067.618723</v>
      </c>
      <c r="M81" s="85">
        <f t="shared" si="54"/>
        <v>437.8166979</v>
      </c>
      <c r="N81" s="85">
        <f t="shared" si="54"/>
        <v>-3389.334486</v>
      </c>
      <c r="O81" s="48">
        <f t="shared" si="50"/>
        <v>1505.435421</v>
      </c>
      <c r="P81" s="85">
        <f t="shared" ref="P81:R81" si="55">SUM(P69:P80)</f>
        <v>-1883.899066</v>
      </c>
      <c r="Q81" s="85">
        <f t="shared" si="55"/>
        <v>131.3000279</v>
      </c>
      <c r="R81" s="85">
        <f t="shared" si="55"/>
        <v>-1752.599038</v>
      </c>
    </row>
    <row r="83">
      <c r="A83" s="76">
        <v>5.0</v>
      </c>
      <c r="B83" s="12" t="s">
        <v>128</v>
      </c>
      <c r="C83" s="12"/>
      <c r="D83" s="15"/>
      <c r="E83" s="15">
        <f>$E$1* POWER((1 -$H$1),A83)</f>
        <v>63391.16895</v>
      </c>
      <c r="F83" s="1" t="s">
        <v>132</v>
      </c>
      <c r="G83" s="8">
        <f>E83/G97</f>
        <v>0.9560252907</v>
      </c>
      <c r="H83" s="1" t="s">
        <v>133</v>
      </c>
      <c r="I83" s="6">
        <f>1-G83</f>
        <v>0.04397470926</v>
      </c>
      <c r="J83" s="12" t="s">
        <v>74</v>
      </c>
      <c r="M83" s="12" t="s">
        <v>78</v>
      </c>
      <c r="N83" s="12"/>
      <c r="O83" s="12"/>
      <c r="P83" s="12"/>
      <c r="Q83" s="12"/>
      <c r="R83" s="12"/>
    </row>
    <row r="84">
      <c r="A84" s="12"/>
      <c r="B84" s="77" t="s">
        <v>83</v>
      </c>
      <c r="C84" s="78" t="s">
        <v>88</v>
      </c>
      <c r="D84" s="44" t="s">
        <v>87</v>
      </c>
      <c r="E84" s="77" t="s">
        <v>140</v>
      </c>
      <c r="F84" s="77" t="s">
        <v>135</v>
      </c>
      <c r="G84" s="78" t="s">
        <v>89</v>
      </c>
      <c r="H84" s="78" t="s">
        <v>138</v>
      </c>
      <c r="I84" s="20" t="s">
        <v>139</v>
      </c>
      <c r="J84" s="78" t="s">
        <v>76</v>
      </c>
      <c r="K84" s="78" t="s">
        <v>82</v>
      </c>
      <c r="L84" s="78" t="s">
        <v>109</v>
      </c>
      <c r="M84" s="78" t="s">
        <v>80</v>
      </c>
      <c r="N84" s="78" t="s">
        <v>67</v>
      </c>
      <c r="O84" s="45" t="s">
        <v>114</v>
      </c>
      <c r="P84" s="79" t="s">
        <v>115</v>
      </c>
      <c r="Q84" s="79" t="s">
        <v>60</v>
      </c>
      <c r="R84" s="79" t="s">
        <v>109</v>
      </c>
    </row>
    <row r="85">
      <c r="A85" s="12"/>
      <c r="B85" s="80" t="s">
        <v>117</v>
      </c>
      <c r="C85" s="87">
        <v>31.0</v>
      </c>
      <c r="D85" s="86">
        <v>0.6479166666666667</v>
      </c>
      <c r="E85" s="88">
        <v>0.02731296772</v>
      </c>
      <c r="F85" s="89">
        <f t="shared" ref="F85:F96" si="56">$E$83*E85</f>
        <v>1731.400951</v>
      </c>
      <c r="G85" s="81">
        <v>5726.0</v>
      </c>
      <c r="H85" s="81">
        <f t="shared" ref="H85:H96" si="57">G85-F85</f>
        <v>3994.599049</v>
      </c>
      <c r="I85" s="25">
        <f t="shared" ref="I85:I96" si="58">D85*G85*(1+$I$83)</f>
        <v>3873.115722</v>
      </c>
      <c r="J85" s="64">
        <f>C85*'Rate Codes'!$D$7</f>
        <v>53.490035</v>
      </c>
      <c r="K85" s="25">
        <f>I85*'Rate Codes'!$D$8</f>
        <v>50.16846795</v>
      </c>
      <c r="L85" s="65">
        <f t="shared" ref="L85:L96" si="59">SUM(J85:K85)</f>
        <v>103.6585029</v>
      </c>
      <c r="M85" s="66">
        <f>I85*'Rate Codes'!$D$8</f>
        <v>50.16846795</v>
      </c>
      <c r="N85" s="67">
        <f t="shared" ref="N85:N96" si="60">H85*IF(D85&gt;51%,0.0689,0.33)</f>
        <v>275.2278745</v>
      </c>
      <c r="O85" s="25">
        <f t="shared" ref="O85:O97" si="61">L85+M85</f>
        <v>153.8269709</v>
      </c>
      <c r="P85" s="81">
        <f t="shared" ref="P85:P96" si="62">N85+L85+M85</f>
        <v>429.0548453</v>
      </c>
      <c r="Q85" s="25">
        <f t="shared" ref="Q85:Q96" si="63">(IF(N85&gt;0,N85,0)+O85)*0.05</f>
        <v>21.45274227</v>
      </c>
      <c r="R85" s="81">
        <f t="shared" ref="R85:R96" si="64">P85+Q85</f>
        <v>450.5075876</v>
      </c>
    </row>
    <row r="86">
      <c r="A86" s="12"/>
      <c r="B86" s="80" t="s">
        <v>118</v>
      </c>
      <c r="C86" s="87">
        <v>28.0</v>
      </c>
      <c r="D86" s="86">
        <v>0.5868041666666667</v>
      </c>
      <c r="E86" s="88">
        <v>0.04620731865</v>
      </c>
      <c r="F86" s="89">
        <f t="shared" si="56"/>
        <v>2929.135943</v>
      </c>
      <c r="G86" s="81">
        <v>5279.0</v>
      </c>
      <c r="H86" s="81">
        <f t="shared" si="57"/>
        <v>2349.864057</v>
      </c>
      <c r="I86" s="25">
        <f t="shared" si="58"/>
        <v>3233.961376</v>
      </c>
      <c r="J86" s="64">
        <f>C86*'Rate Codes'!$D$7</f>
        <v>48.31358</v>
      </c>
      <c r="K86" s="25">
        <f>I86*'Rate Codes'!$D$8</f>
        <v>41.88950171</v>
      </c>
      <c r="L86" s="65">
        <f t="shared" si="59"/>
        <v>90.20308171</v>
      </c>
      <c r="M86" s="66">
        <f>I86*'Rate Codes'!$D$8</f>
        <v>41.88950171</v>
      </c>
      <c r="N86" s="67">
        <f t="shared" si="60"/>
        <v>161.9056335</v>
      </c>
      <c r="O86" s="25">
        <f t="shared" si="61"/>
        <v>132.0925834</v>
      </c>
      <c r="P86" s="81">
        <f t="shared" si="62"/>
        <v>293.9982169</v>
      </c>
      <c r="Q86" s="25">
        <f t="shared" si="63"/>
        <v>14.69991085</v>
      </c>
      <c r="R86" s="81">
        <f t="shared" si="64"/>
        <v>308.6981278</v>
      </c>
    </row>
    <row r="87">
      <c r="A87" s="12"/>
      <c r="B87" s="80" t="s">
        <v>119</v>
      </c>
      <c r="C87" s="87">
        <v>31.0</v>
      </c>
      <c r="D87" s="86">
        <v>0.5083333333333333</v>
      </c>
      <c r="E87" s="88">
        <v>0.08500831624</v>
      </c>
      <c r="F87" s="89">
        <f t="shared" si="56"/>
        <v>5388.776537</v>
      </c>
      <c r="G87" s="81">
        <v>4991.0</v>
      </c>
      <c r="H87" s="81">
        <f t="shared" si="57"/>
        <v>-397.7765372</v>
      </c>
      <c r="I87" s="25">
        <f t="shared" si="58"/>
        <v>2648.659535</v>
      </c>
      <c r="J87" s="64">
        <f>C87*'Rate Codes'!$D$7</f>
        <v>53.490035</v>
      </c>
      <c r="K87" s="25">
        <f>I87*'Rate Codes'!$D$8</f>
        <v>34.30808696</v>
      </c>
      <c r="L87" s="65">
        <f t="shared" si="59"/>
        <v>87.79812196</v>
      </c>
      <c r="M87" s="66">
        <f>I87*'Rate Codes'!$D$8</f>
        <v>34.30808696</v>
      </c>
      <c r="N87" s="67">
        <f t="shared" si="60"/>
        <v>-131.2662573</v>
      </c>
      <c r="O87" s="25">
        <f t="shared" si="61"/>
        <v>122.1062089</v>
      </c>
      <c r="P87" s="81">
        <f t="shared" si="62"/>
        <v>-9.160048351</v>
      </c>
      <c r="Q87" s="25">
        <f t="shared" si="63"/>
        <v>6.105310446</v>
      </c>
      <c r="R87" s="81">
        <f t="shared" si="64"/>
        <v>-3.054737906</v>
      </c>
    </row>
    <row r="88">
      <c r="A88" s="12"/>
      <c r="B88" s="80" t="s">
        <v>120</v>
      </c>
      <c r="C88" s="87">
        <v>30.0</v>
      </c>
      <c r="D88" s="86">
        <v>0.425</v>
      </c>
      <c r="E88" s="88">
        <v>0.108773175</v>
      </c>
      <c r="F88" s="89">
        <f t="shared" si="56"/>
        <v>6895.258714</v>
      </c>
      <c r="G88" s="81">
        <v>4952.0</v>
      </c>
      <c r="H88" s="81">
        <f t="shared" si="57"/>
        <v>-1943.258714</v>
      </c>
      <c r="I88" s="25">
        <f t="shared" si="58"/>
        <v>2197.149173</v>
      </c>
      <c r="J88" s="64">
        <f>C88*'Rate Codes'!$D$7</f>
        <v>51.76455</v>
      </c>
      <c r="K88" s="25">
        <f>I88*'Rate Codes'!$D$8</f>
        <v>28.45967324</v>
      </c>
      <c r="L88" s="65">
        <f t="shared" si="59"/>
        <v>80.22422324</v>
      </c>
      <c r="M88" s="66">
        <f>I88*'Rate Codes'!$D$8</f>
        <v>28.45967324</v>
      </c>
      <c r="N88" s="67">
        <f t="shared" si="60"/>
        <v>-641.2753756</v>
      </c>
      <c r="O88" s="25">
        <f t="shared" si="61"/>
        <v>108.6838965</v>
      </c>
      <c r="P88" s="81">
        <f t="shared" si="62"/>
        <v>-532.5914791</v>
      </c>
      <c r="Q88" s="25">
        <f t="shared" si="63"/>
        <v>5.434194824</v>
      </c>
      <c r="R88" s="81">
        <f t="shared" si="64"/>
        <v>-527.1572843</v>
      </c>
    </row>
    <row r="89">
      <c r="A89" s="12"/>
      <c r="B89" s="80" t="s">
        <v>98</v>
      </c>
      <c r="C89" s="87">
        <v>31.0</v>
      </c>
      <c r="D89" s="86">
        <v>0.35277916666666664</v>
      </c>
      <c r="E89" s="88">
        <v>0.1281742617</v>
      </c>
      <c r="F89" s="89">
        <f t="shared" si="56"/>
        <v>8125.116279</v>
      </c>
      <c r="G89" s="81">
        <v>5559.0</v>
      </c>
      <c r="H89" s="81">
        <f t="shared" si="57"/>
        <v>-2566.116279</v>
      </c>
      <c r="I89" s="25">
        <f t="shared" si="58"/>
        <v>2047.338163</v>
      </c>
      <c r="J89" s="64">
        <f>C89*'Rate Codes'!$D$7</f>
        <v>53.490035</v>
      </c>
      <c r="K89" s="25">
        <f>I89*'Rate Codes'!$D$8</f>
        <v>26.51917122</v>
      </c>
      <c r="L89" s="65">
        <f t="shared" si="59"/>
        <v>80.00920622</v>
      </c>
      <c r="M89" s="66">
        <f>I89*'Rate Codes'!$D$8</f>
        <v>26.51917122</v>
      </c>
      <c r="N89" s="67">
        <f t="shared" si="60"/>
        <v>-846.818372</v>
      </c>
      <c r="O89" s="25">
        <f t="shared" si="61"/>
        <v>106.5283774</v>
      </c>
      <c r="P89" s="81">
        <f t="shared" si="62"/>
        <v>-740.2899946</v>
      </c>
      <c r="Q89" s="25">
        <f t="shared" si="63"/>
        <v>5.326418872</v>
      </c>
      <c r="R89" s="81">
        <f t="shared" si="64"/>
        <v>-734.9635757</v>
      </c>
    </row>
    <row r="90">
      <c r="A90" s="12"/>
      <c r="B90" s="80" t="s">
        <v>121</v>
      </c>
      <c r="C90" s="87">
        <v>30.0</v>
      </c>
      <c r="D90" s="86">
        <v>0.31388750000000004</v>
      </c>
      <c r="E90" s="88">
        <v>0.1254860808</v>
      </c>
      <c r="F90" s="89">
        <f t="shared" si="56"/>
        <v>7954.709349</v>
      </c>
      <c r="G90" s="81">
        <v>4964.0</v>
      </c>
      <c r="H90" s="81">
        <f t="shared" si="57"/>
        <v>-2990.709349</v>
      </c>
      <c r="I90" s="25">
        <f t="shared" si="58"/>
        <v>1626.656196</v>
      </c>
      <c r="J90" s="64">
        <f>C90*'Rate Codes'!$D$7</f>
        <v>51.76455</v>
      </c>
      <c r="K90" s="25">
        <f>I90*'Rate Codes'!$D$8</f>
        <v>21.0700777</v>
      </c>
      <c r="L90" s="65">
        <f t="shared" si="59"/>
        <v>72.8346277</v>
      </c>
      <c r="M90" s="66">
        <f>I90*'Rate Codes'!$D$8</f>
        <v>21.0700777</v>
      </c>
      <c r="N90" s="67">
        <f t="shared" si="60"/>
        <v>-986.9340852</v>
      </c>
      <c r="O90" s="25">
        <f t="shared" si="61"/>
        <v>93.90470541</v>
      </c>
      <c r="P90" s="81">
        <f t="shared" si="62"/>
        <v>-893.0293798</v>
      </c>
      <c r="Q90" s="25">
        <f t="shared" si="63"/>
        <v>4.69523527</v>
      </c>
      <c r="R90" s="81">
        <f t="shared" si="64"/>
        <v>-888.3341446</v>
      </c>
    </row>
    <row r="91">
      <c r="A91" s="12"/>
      <c r="B91" s="80" t="s">
        <v>122</v>
      </c>
      <c r="C91" s="87">
        <v>31.0</v>
      </c>
      <c r="D91" s="86">
        <v>0.33125</v>
      </c>
      <c r="E91" s="88">
        <v>0.1449493112</v>
      </c>
      <c r="F91" s="89">
        <f t="shared" si="56"/>
        <v>9188.506276</v>
      </c>
      <c r="G91" s="81">
        <v>6634.0</v>
      </c>
      <c r="H91" s="81">
        <f t="shared" si="57"/>
        <v>-2554.506276</v>
      </c>
      <c r="I91" s="25">
        <f t="shared" si="58"/>
        <v>2294.147473</v>
      </c>
      <c r="J91" s="64">
        <f>C91*'Rate Codes'!$D$7</f>
        <v>53.490035</v>
      </c>
      <c r="K91" s="25">
        <f>I91*'Rate Codes'!$D$8</f>
        <v>29.71609222</v>
      </c>
      <c r="L91" s="65">
        <f t="shared" si="59"/>
        <v>83.20612722</v>
      </c>
      <c r="M91" s="66">
        <f>I91*'Rate Codes'!$D$8</f>
        <v>29.71609222</v>
      </c>
      <c r="N91" s="67">
        <f t="shared" si="60"/>
        <v>-842.987071</v>
      </c>
      <c r="O91" s="25">
        <f t="shared" si="61"/>
        <v>112.9222194</v>
      </c>
      <c r="P91" s="81">
        <f t="shared" si="62"/>
        <v>-730.0648516</v>
      </c>
      <c r="Q91" s="25">
        <f t="shared" si="63"/>
        <v>5.646110972</v>
      </c>
      <c r="R91" s="81">
        <f t="shared" si="64"/>
        <v>-724.4187406</v>
      </c>
    </row>
    <row r="92">
      <c r="A92" s="12"/>
      <c r="B92" s="80" t="s">
        <v>123</v>
      </c>
      <c r="C92" s="87">
        <v>31.0</v>
      </c>
      <c r="D92" s="86">
        <v>0.3951375</v>
      </c>
      <c r="E92" s="88">
        <v>0.1246952409</v>
      </c>
      <c r="F92" s="89">
        <f t="shared" si="56"/>
        <v>7904.577084</v>
      </c>
      <c r="G92" s="81">
        <v>5909.0</v>
      </c>
      <c r="H92" s="81">
        <f t="shared" si="57"/>
        <v>-1995.577084</v>
      </c>
      <c r="I92" s="25">
        <f t="shared" si="58"/>
        <v>2437.542606</v>
      </c>
      <c r="J92" s="64">
        <f>C92*'Rate Codes'!$D$7</f>
        <v>53.490035</v>
      </c>
      <c r="K92" s="25">
        <f>I92*'Rate Codes'!$D$8</f>
        <v>31.57348938</v>
      </c>
      <c r="L92" s="65">
        <f t="shared" si="59"/>
        <v>85.06352438</v>
      </c>
      <c r="M92" s="66">
        <f>I92*'Rate Codes'!$D$8</f>
        <v>31.57348938</v>
      </c>
      <c r="N92" s="67">
        <f t="shared" si="60"/>
        <v>-658.5404376</v>
      </c>
      <c r="O92" s="25">
        <f t="shared" si="61"/>
        <v>116.6370138</v>
      </c>
      <c r="P92" s="81">
        <f t="shared" si="62"/>
        <v>-541.9034238</v>
      </c>
      <c r="Q92" s="25">
        <f t="shared" si="63"/>
        <v>5.831850688</v>
      </c>
      <c r="R92" s="81">
        <f t="shared" si="64"/>
        <v>-536.0715731</v>
      </c>
    </row>
    <row r="93">
      <c r="A93" s="12"/>
      <c r="B93" s="80" t="s">
        <v>124</v>
      </c>
      <c r="C93" s="87">
        <v>30.0</v>
      </c>
      <c r="D93" s="86">
        <v>0.4756958333333334</v>
      </c>
      <c r="E93" s="88">
        <v>0.09825803101</v>
      </c>
      <c r="F93" s="89">
        <f t="shared" si="56"/>
        <v>6228.691445</v>
      </c>
      <c r="G93" s="81">
        <v>5270.0</v>
      </c>
      <c r="H93" s="81">
        <f t="shared" si="57"/>
        <v>-958.6914447</v>
      </c>
      <c r="I93" s="25">
        <f t="shared" si="58"/>
        <v>2617.15799</v>
      </c>
      <c r="J93" s="64">
        <f>C93*'Rate Codes'!$D$7</f>
        <v>51.76455</v>
      </c>
      <c r="K93" s="25">
        <f>I93*'Rate Codes'!$D$8</f>
        <v>33.90004744</v>
      </c>
      <c r="L93" s="65">
        <f t="shared" si="59"/>
        <v>85.66459744</v>
      </c>
      <c r="M93" s="66">
        <f>I93*'Rate Codes'!$D$8</f>
        <v>33.90004744</v>
      </c>
      <c r="N93" s="67">
        <f t="shared" si="60"/>
        <v>-316.3681768</v>
      </c>
      <c r="O93" s="25">
        <f t="shared" si="61"/>
        <v>119.5646449</v>
      </c>
      <c r="P93" s="81">
        <f t="shared" si="62"/>
        <v>-196.8035319</v>
      </c>
      <c r="Q93" s="25">
        <f t="shared" si="63"/>
        <v>5.978232244</v>
      </c>
      <c r="R93" s="81">
        <f t="shared" si="64"/>
        <v>-190.8252996</v>
      </c>
    </row>
    <row r="94">
      <c r="A94" s="12"/>
      <c r="B94" s="80" t="s">
        <v>125</v>
      </c>
      <c r="C94" s="87">
        <v>31.0</v>
      </c>
      <c r="D94" s="86">
        <v>0.5590291666666667</v>
      </c>
      <c r="E94" s="88">
        <v>0.06840443866</v>
      </c>
      <c r="F94" s="89">
        <f t="shared" si="56"/>
        <v>4336.237328</v>
      </c>
      <c r="G94" s="81">
        <v>5946.0</v>
      </c>
      <c r="H94" s="81">
        <f t="shared" si="57"/>
        <v>1609.762672</v>
      </c>
      <c r="I94" s="25">
        <f t="shared" si="58"/>
        <v>3470.158806</v>
      </c>
      <c r="J94" s="64">
        <f>C94*'Rate Codes'!$D$7</f>
        <v>53.490035</v>
      </c>
      <c r="K94" s="25">
        <f>I94*'Rate Codes'!$D$8</f>
        <v>44.94896701</v>
      </c>
      <c r="L94" s="65">
        <f t="shared" si="59"/>
        <v>98.43900201</v>
      </c>
      <c r="M94" s="66">
        <f>I94*'Rate Codes'!$D$8</f>
        <v>44.94896701</v>
      </c>
      <c r="N94" s="67">
        <f t="shared" si="60"/>
        <v>110.9126481</v>
      </c>
      <c r="O94" s="25">
        <f t="shared" si="61"/>
        <v>143.387969</v>
      </c>
      <c r="P94" s="81">
        <f t="shared" si="62"/>
        <v>254.3006171</v>
      </c>
      <c r="Q94" s="25">
        <f t="shared" si="63"/>
        <v>12.71503086</v>
      </c>
      <c r="R94" s="81">
        <f t="shared" si="64"/>
        <v>267.015648</v>
      </c>
    </row>
    <row r="95">
      <c r="A95" s="12"/>
      <c r="B95" s="80" t="s">
        <v>126</v>
      </c>
      <c r="C95" s="87">
        <v>30.0</v>
      </c>
      <c r="D95" s="86">
        <v>0.63125</v>
      </c>
      <c r="E95" s="88">
        <v>0.0271408052</v>
      </c>
      <c r="F95" s="89">
        <f t="shared" si="56"/>
        <v>1720.487368</v>
      </c>
      <c r="G95" s="81">
        <v>5587.0</v>
      </c>
      <c r="H95" s="81">
        <f t="shared" si="57"/>
        <v>3866.512632</v>
      </c>
      <c r="I95" s="25">
        <f t="shared" si="58"/>
        <v>3681.88348</v>
      </c>
      <c r="J95" s="64">
        <f>C95*'Rate Codes'!$D$7</f>
        <v>51.76455</v>
      </c>
      <c r="K95" s="25">
        <f>I95*'Rate Codes'!$D$8</f>
        <v>47.69143671</v>
      </c>
      <c r="L95" s="65">
        <f t="shared" si="59"/>
        <v>99.45598671</v>
      </c>
      <c r="M95" s="66">
        <f>I95*'Rate Codes'!$D$8</f>
        <v>47.69143671</v>
      </c>
      <c r="N95" s="67">
        <f t="shared" si="60"/>
        <v>266.4027203</v>
      </c>
      <c r="O95" s="25">
        <f t="shared" si="61"/>
        <v>147.1474234</v>
      </c>
      <c r="P95" s="81">
        <f t="shared" si="62"/>
        <v>413.5501438</v>
      </c>
      <c r="Q95" s="25">
        <f t="shared" si="63"/>
        <v>20.67750719</v>
      </c>
      <c r="R95" s="81">
        <f t="shared" si="64"/>
        <v>434.227651</v>
      </c>
    </row>
    <row r="96">
      <c r="A96" s="12"/>
      <c r="B96" s="80" t="s">
        <v>127</v>
      </c>
      <c r="C96" s="87">
        <v>31.0</v>
      </c>
      <c r="D96" s="86">
        <v>0.6680541666666667</v>
      </c>
      <c r="E96" s="88">
        <v>0.01559005293</v>
      </c>
      <c r="F96" s="89">
        <f t="shared" si="56"/>
        <v>988.2716793</v>
      </c>
      <c r="G96" s="81">
        <v>5490.0</v>
      </c>
      <c r="H96" s="81">
        <f t="shared" si="57"/>
        <v>4501.728321</v>
      </c>
      <c r="I96" s="25">
        <f t="shared" si="58"/>
        <v>3828.899783</v>
      </c>
      <c r="J96" s="64">
        <f>C96*'Rate Codes'!$D$7</f>
        <v>53.490035</v>
      </c>
      <c r="K96" s="25">
        <f>I96*'Rate Codes'!$D$8</f>
        <v>49.59573889</v>
      </c>
      <c r="L96" s="65">
        <f t="shared" si="59"/>
        <v>103.0857739</v>
      </c>
      <c r="M96" s="66">
        <f>I96*'Rate Codes'!$D$8</f>
        <v>49.59573889</v>
      </c>
      <c r="N96" s="67">
        <f t="shared" si="60"/>
        <v>310.1690813</v>
      </c>
      <c r="O96" s="25">
        <f t="shared" si="61"/>
        <v>152.6815128</v>
      </c>
      <c r="P96" s="81">
        <f t="shared" si="62"/>
        <v>462.8505941</v>
      </c>
      <c r="Q96" s="25">
        <f t="shared" si="63"/>
        <v>23.1425297</v>
      </c>
      <c r="R96" s="81">
        <f t="shared" si="64"/>
        <v>485.9931238</v>
      </c>
    </row>
    <row r="97">
      <c r="A97" s="12"/>
      <c r="B97" s="77" t="s">
        <v>109</v>
      </c>
      <c r="C97" s="82"/>
      <c r="D97" s="83"/>
      <c r="E97" s="83">
        <f t="shared" ref="E97:N97" si="65">SUM(E85:E96)</f>
        <v>1</v>
      </c>
      <c r="F97" s="84">
        <f t="shared" si="65"/>
        <v>63391.16895</v>
      </c>
      <c r="G97" s="85">
        <f t="shared" si="65"/>
        <v>66307</v>
      </c>
      <c r="H97" s="85">
        <f t="shared" si="65"/>
        <v>2915.831046</v>
      </c>
      <c r="I97" s="48">
        <f t="shared" si="65"/>
        <v>33956.6703</v>
      </c>
      <c r="J97" s="85">
        <f t="shared" si="65"/>
        <v>629.802025</v>
      </c>
      <c r="K97" s="85">
        <f t="shared" si="65"/>
        <v>439.8407504</v>
      </c>
      <c r="L97" s="85">
        <f t="shared" si="65"/>
        <v>1069.642775</v>
      </c>
      <c r="M97" s="85">
        <f t="shared" si="65"/>
        <v>439.8407504</v>
      </c>
      <c r="N97" s="85">
        <f t="shared" si="65"/>
        <v>-3299.571818</v>
      </c>
      <c r="O97" s="48">
        <f t="shared" si="61"/>
        <v>1509.483526</v>
      </c>
      <c r="P97" s="85">
        <f t="shared" ref="P97:R97" si="66">SUM(P85:P96)</f>
        <v>-1790.088292</v>
      </c>
      <c r="Q97" s="85">
        <f t="shared" si="66"/>
        <v>131.7050742</v>
      </c>
      <c r="R97" s="85">
        <f t="shared" si="66"/>
        <v>-1658.383218</v>
      </c>
    </row>
    <row r="99">
      <c r="A99" s="76">
        <v>6.0</v>
      </c>
      <c r="B99" s="12" t="s">
        <v>128</v>
      </c>
      <c r="C99" s="12"/>
      <c r="D99" s="15"/>
      <c r="E99" s="15">
        <f>$E$1* POWER((1 -$H$1),A99)</f>
        <v>63074.21311</v>
      </c>
      <c r="F99" s="1" t="s">
        <v>132</v>
      </c>
      <c r="G99" s="8">
        <f>E99/G113</f>
        <v>0.9512451643</v>
      </c>
      <c r="H99" s="1" t="s">
        <v>133</v>
      </c>
      <c r="I99" s="6">
        <f>1-G99</f>
        <v>0.04875483572</v>
      </c>
      <c r="J99" s="12" t="s">
        <v>74</v>
      </c>
      <c r="M99" s="12" t="s">
        <v>78</v>
      </c>
      <c r="N99" s="12"/>
      <c r="O99" s="12"/>
      <c r="P99" s="12"/>
      <c r="Q99" s="12"/>
      <c r="R99" s="12"/>
    </row>
    <row r="100">
      <c r="A100" s="12"/>
      <c r="B100" s="77" t="s">
        <v>83</v>
      </c>
      <c r="C100" s="78" t="s">
        <v>88</v>
      </c>
      <c r="D100" s="44" t="s">
        <v>87</v>
      </c>
      <c r="E100" s="77" t="s">
        <v>140</v>
      </c>
      <c r="F100" s="77" t="s">
        <v>135</v>
      </c>
      <c r="G100" s="78" t="s">
        <v>89</v>
      </c>
      <c r="H100" s="78" t="s">
        <v>138</v>
      </c>
      <c r="I100" s="20" t="s">
        <v>139</v>
      </c>
      <c r="J100" s="78" t="s">
        <v>76</v>
      </c>
      <c r="K100" s="78" t="s">
        <v>82</v>
      </c>
      <c r="L100" s="78" t="s">
        <v>109</v>
      </c>
      <c r="M100" s="78" t="s">
        <v>80</v>
      </c>
      <c r="N100" s="78" t="s">
        <v>67</v>
      </c>
      <c r="O100" s="45" t="s">
        <v>114</v>
      </c>
      <c r="P100" s="79" t="s">
        <v>115</v>
      </c>
      <c r="Q100" s="79" t="s">
        <v>60</v>
      </c>
      <c r="R100" s="79" t="s">
        <v>109</v>
      </c>
    </row>
    <row r="101">
      <c r="A101" s="12"/>
      <c r="B101" s="80" t="s">
        <v>117</v>
      </c>
      <c r="C101" s="87">
        <v>31.0</v>
      </c>
      <c r="D101" s="86">
        <v>0.6479166666666667</v>
      </c>
      <c r="E101" s="88">
        <v>0.02731296772</v>
      </c>
      <c r="F101" s="89">
        <f t="shared" ref="F101:F112" si="67">$E$99*E101</f>
        <v>1722.743947</v>
      </c>
      <c r="G101" s="81">
        <v>5726.0</v>
      </c>
      <c r="H101" s="81">
        <f t="shared" ref="H101:H112" si="68">G101-F101</f>
        <v>4003.256053</v>
      </c>
      <c r="I101" s="25">
        <f t="shared" ref="I101:I112" si="69">D101*G101*(1+$I$99)</f>
        <v>3890.849852</v>
      </c>
      <c r="J101" s="64">
        <f>C101*'Rate Codes'!$D$7</f>
        <v>53.490035</v>
      </c>
      <c r="K101" s="25">
        <f>I101*'Rate Codes'!$D$8</f>
        <v>50.39817813</v>
      </c>
      <c r="L101" s="65">
        <f t="shared" ref="L101:L112" si="70">SUM(J101:K101)</f>
        <v>103.8882131</v>
      </c>
      <c r="M101" s="66">
        <f>I101*'Rate Codes'!$D$8</f>
        <v>50.39817813</v>
      </c>
      <c r="N101" s="67">
        <f t="shared" ref="N101:N112" si="71">H101*IF(D101&gt;51%,0.0689,0.33)</f>
        <v>275.8243421</v>
      </c>
      <c r="O101" s="25">
        <f t="shared" ref="O101:O113" si="72">L101+M101</f>
        <v>154.2863913</v>
      </c>
      <c r="P101" s="81">
        <f t="shared" ref="P101:P112" si="73">N101+L101+M101</f>
        <v>430.1107333</v>
      </c>
      <c r="Q101" s="25">
        <f t="shared" ref="Q101:Q112" si="74">(IF(N101&gt;0,N101,0)+O101)*0.05</f>
        <v>21.50553667</v>
      </c>
      <c r="R101" s="81">
        <f t="shared" ref="R101:R112" si="75">P101+Q101</f>
        <v>451.61627</v>
      </c>
    </row>
    <row r="102">
      <c r="A102" s="12"/>
      <c r="B102" s="80" t="s">
        <v>118</v>
      </c>
      <c r="C102" s="87">
        <v>28.0</v>
      </c>
      <c r="D102" s="86">
        <v>0.5868041666666667</v>
      </c>
      <c r="E102" s="88">
        <v>0.04620731865</v>
      </c>
      <c r="F102" s="89">
        <f t="shared" si="67"/>
        <v>2914.490264</v>
      </c>
      <c r="G102" s="81">
        <v>5279.0</v>
      </c>
      <c r="H102" s="81">
        <f t="shared" si="68"/>
        <v>2364.509736</v>
      </c>
      <c r="I102" s="25">
        <f t="shared" si="69"/>
        <v>3248.768961</v>
      </c>
      <c r="J102" s="64">
        <f>C102*'Rate Codes'!$D$7</f>
        <v>48.31358</v>
      </c>
      <c r="K102" s="25">
        <f>I102*'Rate Codes'!$D$8</f>
        <v>42.08130436</v>
      </c>
      <c r="L102" s="65">
        <f t="shared" si="70"/>
        <v>90.39488436</v>
      </c>
      <c r="M102" s="66">
        <f>I102*'Rate Codes'!$D$8</f>
        <v>42.08130436</v>
      </c>
      <c r="N102" s="67">
        <f t="shared" si="71"/>
        <v>162.9147208</v>
      </c>
      <c r="O102" s="25">
        <f t="shared" si="72"/>
        <v>132.4761887</v>
      </c>
      <c r="P102" s="81">
        <f t="shared" si="73"/>
        <v>295.3909095</v>
      </c>
      <c r="Q102" s="25">
        <f t="shared" si="74"/>
        <v>14.76954548</v>
      </c>
      <c r="R102" s="81">
        <f t="shared" si="75"/>
        <v>310.160455</v>
      </c>
    </row>
    <row r="103">
      <c r="A103" s="12"/>
      <c r="B103" s="80" t="s">
        <v>119</v>
      </c>
      <c r="C103" s="87">
        <v>31.0</v>
      </c>
      <c r="D103" s="86">
        <v>0.5083333333333333</v>
      </c>
      <c r="E103" s="88">
        <v>0.08500831624</v>
      </c>
      <c r="F103" s="89">
        <f t="shared" si="67"/>
        <v>5361.832654</v>
      </c>
      <c r="G103" s="81">
        <v>4991.0</v>
      </c>
      <c r="H103" s="81">
        <f t="shared" si="68"/>
        <v>-370.8326545</v>
      </c>
      <c r="I103" s="25">
        <f t="shared" si="69"/>
        <v>2660.787154</v>
      </c>
      <c r="J103" s="64">
        <f>C103*'Rate Codes'!$D$7</f>
        <v>53.490035</v>
      </c>
      <c r="K103" s="25">
        <f>I103*'Rate Codes'!$D$8</f>
        <v>34.46517601</v>
      </c>
      <c r="L103" s="65">
        <f t="shared" si="70"/>
        <v>87.95521101</v>
      </c>
      <c r="M103" s="66">
        <f>I103*'Rate Codes'!$D$8</f>
        <v>34.46517601</v>
      </c>
      <c r="N103" s="67">
        <f t="shared" si="71"/>
        <v>-122.374776</v>
      </c>
      <c r="O103" s="25">
        <f t="shared" si="72"/>
        <v>122.420387</v>
      </c>
      <c r="P103" s="81">
        <f t="shared" si="73"/>
        <v>0.04561103256</v>
      </c>
      <c r="Q103" s="25">
        <f t="shared" si="74"/>
        <v>6.121019351</v>
      </c>
      <c r="R103" s="81">
        <f t="shared" si="75"/>
        <v>6.166630383</v>
      </c>
    </row>
    <row r="104">
      <c r="A104" s="12"/>
      <c r="B104" s="80" t="s">
        <v>120</v>
      </c>
      <c r="C104" s="87">
        <v>30.0</v>
      </c>
      <c r="D104" s="86">
        <v>0.425</v>
      </c>
      <c r="E104" s="88">
        <v>0.108773175</v>
      </c>
      <c r="F104" s="89">
        <f t="shared" si="67"/>
        <v>6860.78242</v>
      </c>
      <c r="G104" s="81">
        <v>4952.0</v>
      </c>
      <c r="H104" s="81">
        <f t="shared" si="68"/>
        <v>-1908.78242</v>
      </c>
      <c r="I104" s="25">
        <f t="shared" si="69"/>
        <v>2207.209427</v>
      </c>
      <c r="J104" s="64">
        <f>C104*'Rate Codes'!$D$7</f>
        <v>51.76455</v>
      </c>
      <c r="K104" s="25">
        <f>I104*'Rate Codes'!$D$8</f>
        <v>28.58998371</v>
      </c>
      <c r="L104" s="65">
        <f t="shared" si="70"/>
        <v>80.35453371</v>
      </c>
      <c r="M104" s="66">
        <f>I104*'Rate Codes'!$D$8</f>
        <v>28.58998371</v>
      </c>
      <c r="N104" s="67">
        <f t="shared" si="71"/>
        <v>-629.8981987</v>
      </c>
      <c r="O104" s="25">
        <f t="shared" si="72"/>
        <v>108.9445174</v>
      </c>
      <c r="P104" s="81">
        <f t="shared" si="73"/>
        <v>-520.9536813</v>
      </c>
      <c r="Q104" s="25">
        <f t="shared" si="74"/>
        <v>5.447225871</v>
      </c>
      <c r="R104" s="81">
        <f t="shared" si="75"/>
        <v>-515.5064554</v>
      </c>
    </row>
    <row r="105">
      <c r="A105" s="12"/>
      <c r="B105" s="80" t="s">
        <v>98</v>
      </c>
      <c r="C105" s="87">
        <v>31.0</v>
      </c>
      <c r="D105" s="86">
        <v>0.35277916666666664</v>
      </c>
      <c r="E105" s="88">
        <v>0.1281742617</v>
      </c>
      <c r="F105" s="89">
        <f t="shared" si="67"/>
        <v>8084.490697</v>
      </c>
      <c r="G105" s="81">
        <v>5559.0</v>
      </c>
      <c r="H105" s="81">
        <f t="shared" si="68"/>
        <v>-2525.490697</v>
      </c>
      <c r="I105" s="25">
        <f t="shared" si="69"/>
        <v>2056.712466</v>
      </c>
      <c r="J105" s="64">
        <f>C105*'Rate Codes'!$D$7</f>
        <v>53.490035</v>
      </c>
      <c r="K105" s="25">
        <f>I105*'Rate Codes'!$D$8</f>
        <v>26.64059657</v>
      </c>
      <c r="L105" s="65">
        <f t="shared" si="70"/>
        <v>80.13063157</v>
      </c>
      <c r="M105" s="66">
        <f>I105*'Rate Codes'!$D$8</f>
        <v>26.64059657</v>
      </c>
      <c r="N105" s="67">
        <f t="shared" si="71"/>
        <v>-833.4119302</v>
      </c>
      <c r="O105" s="25">
        <f t="shared" si="72"/>
        <v>106.7712281</v>
      </c>
      <c r="P105" s="81">
        <f t="shared" si="73"/>
        <v>-726.640702</v>
      </c>
      <c r="Q105" s="25">
        <f t="shared" si="74"/>
        <v>5.338561407</v>
      </c>
      <c r="R105" s="81">
        <f t="shared" si="75"/>
        <v>-721.3021406</v>
      </c>
    </row>
    <row r="106">
      <c r="A106" s="12"/>
      <c r="B106" s="80" t="s">
        <v>121</v>
      </c>
      <c r="C106" s="87">
        <v>30.0</v>
      </c>
      <c r="D106" s="86">
        <v>0.31388750000000004</v>
      </c>
      <c r="E106" s="88">
        <v>0.1254860808</v>
      </c>
      <c r="F106" s="89">
        <f t="shared" si="67"/>
        <v>7914.935802</v>
      </c>
      <c r="G106" s="81">
        <v>4964.0</v>
      </c>
      <c r="H106" s="81">
        <f t="shared" si="68"/>
        <v>-2950.935802</v>
      </c>
      <c r="I106" s="25">
        <f t="shared" si="69"/>
        <v>1634.10429</v>
      </c>
      <c r="J106" s="64">
        <f>C106*'Rate Codes'!$D$7</f>
        <v>51.76455</v>
      </c>
      <c r="K106" s="25">
        <f>I106*'Rate Codes'!$D$8</f>
        <v>21.16655287</v>
      </c>
      <c r="L106" s="65">
        <f t="shared" si="70"/>
        <v>72.93110287</v>
      </c>
      <c r="M106" s="66">
        <f>I106*'Rate Codes'!$D$8</f>
        <v>21.16655287</v>
      </c>
      <c r="N106" s="67">
        <f t="shared" si="71"/>
        <v>-973.8088148</v>
      </c>
      <c r="O106" s="25">
        <f t="shared" si="72"/>
        <v>94.09765574</v>
      </c>
      <c r="P106" s="81">
        <f t="shared" si="73"/>
        <v>-879.7111591</v>
      </c>
      <c r="Q106" s="25">
        <f t="shared" si="74"/>
        <v>4.704882787</v>
      </c>
      <c r="R106" s="81">
        <f t="shared" si="75"/>
        <v>-875.0062763</v>
      </c>
    </row>
    <row r="107">
      <c r="A107" s="12"/>
      <c r="B107" s="80" t="s">
        <v>122</v>
      </c>
      <c r="C107" s="87">
        <v>31.0</v>
      </c>
      <c r="D107" s="86">
        <v>0.33125</v>
      </c>
      <c r="E107" s="88">
        <v>0.1449493112</v>
      </c>
      <c r="F107" s="89">
        <f t="shared" si="67"/>
        <v>9142.563745</v>
      </c>
      <c r="G107" s="81">
        <v>6634.0</v>
      </c>
      <c r="H107" s="81">
        <f t="shared" si="68"/>
        <v>-2508.563745</v>
      </c>
      <c r="I107" s="25">
        <f t="shared" si="69"/>
        <v>2304.651861</v>
      </c>
      <c r="J107" s="64">
        <f>C107*'Rate Codes'!$D$7</f>
        <v>53.490035</v>
      </c>
      <c r="K107" s="25">
        <f>I107*'Rate Codes'!$D$8</f>
        <v>29.85215555</v>
      </c>
      <c r="L107" s="65">
        <f t="shared" si="70"/>
        <v>83.34219055</v>
      </c>
      <c r="M107" s="66">
        <f>I107*'Rate Codes'!$D$8</f>
        <v>29.85215555</v>
      </c>
      <c r="N107" s="67">
        <f t="shared" si="71"/>
        <v>-827.8260357</v>
      </c>
      <c r="O107" s="25">
        <f t="shared" si="72"/>
        <v>113.1943461</v>
      </c>
      <c r="P107" s="81">
        <f t="shared" si="73"/>
        <v>-714.6316896</v>
      </c>
      <c r="Q107" s="25">
        <f t="shared" si="74"/>
        <v>5.659717305</v>
      </c>
      <c r="R107" s="81">
        <f t="shared" si="75"/>
        <v>-708.9719723</v>
      </c>
    </row>
    <row r="108">
      <c r="A108" s="12"/>
      <c r="B108" s="80" t="s">
        <v>123</v>
      </c>
      <c r="C108" s="87">
        <v>31.0</v>
      </c>
      <c r="D108" s="86">
        <v>0.3951375</v>
      </c>
      <c r="E108" s="88">
        <v>0.1246952409</v>
      </c>
      <c r="F108" s="89">
        <f t="shared" si="67"/>
        <v>7865.054198</v>
      </c>
      <c r="G108" s="81">
        <v>5909.0</v>
      </c>
      <c r="H108" s="81">
        <f t="shared" si="68"/>
        <v>-1956.054198</v>
      </c>
      <c r="I108" s="25">
        <f t="shared" si="69"/>
        <v>2448.703568</v>
      </c>
      <c r="J108" s="64">
        <f>C108*'Rate Codes'!$D$7</f>
        <v>53.490035</v>
      </c>
      <c r="K108" s="25">
        <f>I108*'Rate Codes'!$D$8</f>
        <v>31.71805732</v>
      </c>
      <c r="L108" s="65">
        <f t="shared" si="70"/>
        <v>85.20809232</v>
      </c>
      <c r="M108" s="66">
        <f>I108*'Rate Codes'!$D$8</f>
        <v>31.71805732</v>
      </c>
      <c r="N108" s="67">
        <f t="shared" si="71"/>
        <v>-645.4978854</v>
      </c>
      <c r="O108" s="25">
        <f t="shared" si="72"/>
        <v>116.9261496</v>
      </c>
      <c r="P108" s="81">
        <f t="shared" si="73"/>
        <v>-528.5717357</v>
      </c>
      <c r="Q108" s="25">
        <f t="shared" si="74"/>
        <v>5.846307482</v>
      </c>
      <c r="R108" s="81">
        <f t="shared" si="75"/>
        <v>-522.7254283</v>
      </c>
    </row>
    <row r="109">
      <c r="A109" s="12"/>
      <c r="B109" s="80" t="s">
        <v>124</v>
      </c>
      <c r="C109" s="87">
        <v>30.0</v>
      </c>
      <c r="D109" s="86">
        <v>0.4756958333333334</v>
      </c>
      <c r="E109" s="88">
        <v>0.09825803101</v>
      </c>
      <c r="F109" s="89">
        <f t="shared" si="67"/>
        <v>6197.547988</v>
      </c>
      <c r="G109" s="81">
        <v>5270.0</v>
      </c>
      <c r="H109" s="81">
        <f t="shared" si="68"/>
        <v>-927.5479875</v>
      </c>
      <c r="I109" s="25">
        <f t="shared" si="69"/>
        <v>2629.14137</v>
      </c>
      <c r="J109" s="64">
        <f>C109*'Rate Codes'!$D$7</f>
        <v>51.76455</v>
      </c>
      <c r="K109" s="25">
        <f>I109*'Rate Codes'!$D$8</f>
        <v>34.05526817</v>
      </c>
      <c r="L109" s="65">
        <f t="shared" si="70"/>
        <v>85.81981817</v>
      </c>
      <c r="M109" s="66">
        <f>I109*'Rate Codes'!$D$8</f>
        <v>34.05526817</v>
      </c>
      <c r="N109" s="67">
        <f t="shared" si="71"/>
        <v>-306.0908359</v>
      </c>
      <c r="O109" s="25">
        <f t="shared" si="72"/>
        <v>119.8750863</v>
      </c>
      <c r="P109" s="81">
        <f t="shared" si="73"/>
        <v>-186.2157495</v>
      </c>
      <c r="Q109" s="25">
        <f t="shared" si="74"/>
        <v>5.993754317</v>
      </c>
      <c r="R109" s="81">
        <f t="shared" si="75"/>
        <v>-180.2219952</v>
      </c>
    </row>
    <row r="110">
      <c r="A110" s="12"/>
      <c r="B110" s="80" t="s">
        <v>125</v>
      </c>
      <c r="C110" s="87">
        <v>31.0</v>
      </c>
      <c r="D110" s="86">
        <v>0.5590291666666667</v>
      </c>
      <c r="E110" s="88">
        <v>0.06840443866</v>
      </c>
      <c r="F110" s="89">
        <f t="shared" si="67"/>
        <v>4314.556142</v>
      </c>
      <c r="G110" s="81">
        <v>5946.0</v>
      </c>
      <c r="H110" s="81">
        <f t="shared" si="68"/>
        <v>1631.443858</v>
      </c>
      <c r="I110" s="25">
        <f t="shared" si="69"/>
        <v>3486.047886</v>
      </c>
      <c r="J110" s="64">
        <f>C110*'Rate Codes'!$D$7</f>
        <v>53.490035</v>
      </c>
      <c r="K110" s="25">
        <f>I110*'Rate Codes'!$D$8</f>
        <v>45.15477827</v>
      </c>
      <c r="L110" s="65">
        <f t="shared" si="70"/>
        <v>98.64481327</v>
      </c>
      <c r="M110" s="66">
        <f>I110*'Rate Codes'!$D$8</f>
        <v>45.15477827</v>
      </c>
      <c r="N110" s="67">
        <f t="shared" si="71"/>
        <v>112.4064818</v>
      </c>
      <c r="O110" s="25">
        <f t="shared" si="72"/>
        <v>143.7995915</v>
      </c>
      <c r="P110" s="81">
        <f t="shared" si="73"/>
        <v>256.2060734</v>
      </c>
      <c r="Q110" s="25">
        <f t="shared" si="74"/>
        <v>12.81030367</v>
      </c>
      <c r="R110" s="81">
        <f t="shared" si="75"/>
        <v>269.016377</v>
      </c>
    </row>
    <row r="111">
      <c r="A111" s="12"/>
      <c r="B111" s="80" t="s">
        <v>126</v>
      </c>
      <c r="C111" s="87">
        <v>30.0</v>
      </c>
      <c r="D111" s="86">
        <v>0.63125</v>
      </c>
      <c r="E111" s="88">
        <v>0.0271408052</v>
      </c>
      <c r="F111" s="89">
        <f t="shared" si="67"/>
        <v>1711.884931</v>
      </c>
      <c r="G111" s="81">
        <v>5587.0</v>
      </c>
      <c r="H111" s="81">
        <f t="shared" si="68"/>
        <v>3875.115069</v>
      </c>
      <c r="I111" s="25">
        <f t="shared" si="69"/>
        <v>3698.742</v>
      </c>
      <c r="J111" s="64">
        <f>C111*'Rate Codes'!$D$7</f>
        <v>51.76455</v>
      </c>
      <c r="K111" s="25">
        <f>I111*'Rate Codes'!$D$8</f>
        <v>47.90980512</v>
      </c>
      <c r="L111" s="65">
        <f t="shared" si="70"/>
        <v>99.67435512</v>
      </c>
      <c r="M111" s="66">
        <f>I111*'Rate Codes'!$D$8</f>
        <v>47.90980512</v>
      </c>
      <c r="N111" s="67">
        <f t="shared" si="71"/>
        <v>266.9954282</v>
      </c>
      <c r="O111" s="25">
        <f t="shared" si="72"/>
        <v>147.5841602</v>
      </c>
      <c r="P111" s="81">
        <f t="shared" si="73"/>
        <v>414.5795885</v>
      </c>
      <c r="Q111" s="25">
        <f t="shared" si="74"/>
        <v>20.72897942</v>
      </c>
      <c r="R111" s="81">
        <f t="shared" si="75"/>
        <v>435.3085679</v>
      </c>
    </row>
    <row r="112">
      <c r="A112" s="12"/>
      <c r="B112" s="80" t="s">
        <v>127</v>
      </c>
      <c r="C112" s="87">
        <v>31.0</v>
      </c>
      <c r="D112" s="86">
        <v>0.6680541666666667</v>
      </c>
      <c r="E112" s="88">
        <v>0.01559005293</v>
      </c>
      <c r="F112" s="89">
        <f t="shared" si="67"/>
        <v>983.3303209</v>
      </c>
      <c r="G112" s="81">
        <v>5490.0</v>
      </c>
      <c r="H112" s="81">
        <f t="shared" si="68"/>
        <v>4506.669679</v>
      </c>
      <c r="I112" s="25">
        <f t="shared" si="69"/>
        <v>3846.431458</v>
      </c>
      <c r="J112" s="64">
        <f>C112*'Rate Codes'!$D$7</f>
        <v>53.490035</v>
      </c>
      <c r="K112" s="25">
        <f>I112*'Rate Codes'!$D$8</f>
        <v>49.82282667</v>
      </c>
      <c r="L112" s="65">
        <f t="shared" si="70"/>
        <v>103.3128617</v>
      </c>
      <c r="M112" s="66">
        <f>I112*'Rate Codes'!$D$8</f>
        <v>49.82282667</v>
      </c>
      <c r="N112" s="67">
        <f t="shared" si="71"/>
        <v>310.5095409</v>
      </c>
      <c r="O112" s="25">
        <f t="shared" si="72"/>
        <v>153.1356883</v>
      </c>
      <c r="P112" s="81">
        <f t="shared" si="73"/>
        <v>463.6452292</v>
      </c>
      <c r="Q112" s="25">
        <f t="shared" si="74"/>
        <v>23.18226146</v>
      </c>
      <c r="R112" s="81">
        <f t="shared" si="75"/>
        <v>486.8274907</v>
      </c>
    </row>
    <row r="113">
      <c r="A113" s="12"/>
      <c r="B113" s="77" t="s">
        <v>109</v>
      </c>
      <c r="C113" s="82"/>
      <c r="D113" s="83"/>
      <c r="E113" s="83">
        <f t="shared" ref="E113:N113" si="76">SUM(E101:E112)</f>
        <v>1</v>
      </c>
      <c r="F113" s="84">
        <f t="shared" si="76"/>
        <v>63074.21311</v>
      </c>
      <c r="G113" s="85">
        <f t="shared" si="76"/>
        <v>66307</v>
      </c>
      <c r="H113" s="85">
        <f t="shared" si="76"/>
        <v>3232.786891</v>
      </c>
      <c r="I113" s="48">
        <f t="shared" si="76"/>
        <v>34112.15029</v>
      </c>
      <c r="J113" s="85">
        <f t="shared" si="76"/>
        <v>629.802025</v>
      </c>
      <c r="K113" s="85">
        <f t="shared" si="76"/>
        <v>441.8546828</v>
      </c>
      <c r="L113" s="85">
        <f t="shared" si="76"/>
        <v>1071.656708</v>
      </c>
      <c r="M113" s="85">
        <f t="shared" si="76"/>
        <v>441.8546828</v>
      </c>
      <c r="N113" s="85">
        <f t="shared" si="76"/>
        <v>-3210.257963</v>
      </c>
      <c r="O113" s="48">
        <f t="shared" si="72"/>
        <v>1513.511391</v>
      </c>
      <c r="P113" s="85">
        <f t="shared" ref="P113:R113" si="77">SUM(P101:P112)</f>
        <v>-1696.746572</v>
      </c>
      <c r="Q113" s="85">
        <f t="shared" si="77"/>
        <v>132.1080952</v>
      </c>
      <c r="R113" s="85">
        <f t="shared" si="77"/>
        <v>-1564.638477</v>
      </c>
    </row>
    <row r="115">
      <c r="A115" s="76">
        <v>7.0</v>
      </c>
      <c r="B115" s="12" t="s">
        <v>128</v>
      </c>
      <c r="C115" s="12"/>
      <c r="D115" s="15"/>
      <c r="E115" s="15">
        <f>$E$1* POWER((1 -$H$1),A115)</f>
        <v>62758.84204</v>
      </c>
      <c r="F115" s="1" t="s">
        <v>132</v>
      </c>
      <c r="G115" s="8">
        <f>E115/G129</f>
        <v>0.9464889385</v>
      </c>
      <c r="H115" s="1" t="s">
        <v>133</v>
      </c>
      <c r="I115" s="6">
        <f>1-G115</f>
        <v>0.05351106154</v>
      </c>
      <c r="J115" s="12" t="s">
        <v>74</v>
      </c>
      <c r="M115" s="12" t="s">
        <v>78</v>
      </c>
      <c r="N115" s="12"/>
      <c r="O115" s="12"/>
      <c r="P115" s="12"/>
      <c r="Q115" s="12"/>
      <c r="R115" s="12"/>
    </row>
    <row r="116">
      <c r="A116" s="12"/>
      <c r="B116" s="77" t="s">
        <v>83</v>
      </c>
      <c r="C116" s="78" t="s">
        <v>88</v>
      </c>
      <c r="D116" s="44" t="s">
        <v>87</v>
      </c>
      <c r="E116" s="77" t="s">
        <v>140</v>
      </c>
      <c r="F116" s="77" t="s">
        <v>135</v>
      </c>
      <c r="G116" s="78" t="s">
        <v>89</v>
      </c>
      <c r="H116" s="78" t="s">
        <v>138</v>
      </c>
      <c r="I116" s="20" t="s">
        <v>139</v>
      </c>
      <c r="J116" s="78" t="s">
        <v>76</v>
      </c>
      <c r="K116" s="78" t="s">
        <v>82</v>
      </c>
      <c r="L116" s="78" t="s">
        <v>109</v>
      </c>
      <c r="M116" s="78" t="s">
        <v>80</v>
      </c>
      <c r="N116" s="78" t="s">
        <v>67</v>
      </c>
      <c r="O116" s="45" t="s">
        <v>114</v>
      </c>
      <c r="P116" s="79" t="s">
        <v>115</v>
      </c>
      <c r="Q116" s="79" t="s">
        <v>60</v>
      </c>
      <c r="R116" s="79" t="s">
        <v>109</v>
      </c>
    </row>
    <row r="117">
      <c r="A117" s="12"/>
      <c r="B117" s="80" t="s">
        <v>117</v>
      </c>
      <c r="C117" s="87">
        <v>31.0</v>
      </c>
      <c r="D117" s="86">
        <v>0.6479166666666667</v>
      </c>
      <c r="E117" s="88">
        <v>0.02731296772</v>
      </c>
      <c r="F117" s="89">
        <f t="shared" ref="F117:F128" si="78">$E$115*E117</f>
        <v>1714.130227</v>
      </c>
      <c r="G117" s="81">
        <v>5726.0</v>
      </c>
      <c r="H117" s="81">
        <f t="shared" ref="H117:H128" si="79">G117-F117</f>
        <v>4011.869773</v>
      </c>
      <c r="I117" s="25">
        <f t="shared" ref="I117:I128" si="80">D117*G117*(1+$I$115)</f>
        <v>3908.495311</v>
      </c>
      <c r="J117" s="64">
        <f>C117*'Rate Codes'!$D$7</f>
        <v>53.490035</v>
      </c>
      <c r="K117" s="25">
        <f>I117*'Rate Codes'!$D$8</f>
        <v>50.62673976</v>
      </c>
      <c r="L117" s="65">
        <f t="shared" ref="L117:L128" si="81">SUM(J117:K117)</f>
        <v>104.1167748</v>
      </c>
      <c r="M117" s="66">
        <f>I117*'Rate Codes'!$D$8</f>
        <v>50.62673976</v>
      </c>
      <c r="N117" s="67">
        <f t="shared" ref="N117:N128" si="82">H117*IF(D117&gt;51%,0.0689,0.33)</f>
        <v>276.4178274</v>
      </c>
      <c r="O117" s="25">
        <f t="shared" ref="O117:O129" si="83">L117+M117</f>
        <v>154.7435145</v>
      </c>
      <c r="P117" s="81">
        <f t="shared" ref="P117:P128" si="84">N117+L117+M117</f>
        <v>431.1613419</v>
      </c>
      <c r="Q117" s="25">
        <f t="shared" ref="Q117:Q128" si="85">(IF(N117&gt;0,N117,0)+O117)*0.05</f>
        <v>21.55806709</v>
      </c>
      <c r="R117" s="81">
        <f t="shared" ref="R117:R128" si="86">P117+Q117</f>
        <v>452.719409</v>
      </c>
    </row>
    <row r="118">
      <c r="A118" s="12"/>
      <c r="B118" s="80" t="s">
        <v>118</v>
      </c>
      <c r="C118" s="87">
        <v>28.0</v>
      </c>
      <c r="D118" s="86">
        <v>0.5868041666666667</v>
      </c>
      <c r="E118" s="88">
        <v>0.04620731865</v>
      </c>
      <c r="F118" s="89">
        <f t="shared" si="78"/>
        <v>2899.917812</v>
      </c>
      <c r="G118" s="81">
        <v>5279.0</v>
      </c>
      <c r="H118" s="81">
        <f t="shared" si="79"/>
        <v>2379.082188</v>
      </c>
      <c r="I118" s="25">
        <f t="shared" si="80"/>
        <v>3263.502509</v>
      </c>
      <c r="J118" s="64">
        <f>C118*'Rate Codes'!$D$7</f>
        <v>48.31358</v>
      </c>
      <c r="K118" s="25">
        <f>I118*'Rate Codes'!$D$8</f>
        <v>42.27214799</v>
      </c>
      <c r="L118" s="65">
        <f t="shared" si="81"/>
        <v>90.58572799</v>
      </c>
      <c r="M118" s="66">
        <f>I118*'Rate Codes'!$D$8</f>
        <v>42.27214799</v>
      </c>
      <c r="N118" s="67">
        <f t="shared" si="82"/>
        <v>163.9187627</v>
      </c>
      <c r="O118" s="25">
        <f t="shared" si="83"/>
        <v>132.857876</v>
      </c>
      <c r="P118" s="81">
        <f t="shared" si="84"/>
        <v>296.7766387</v>
      </c>
      <c r="Q118" s="25">
        <f t="shared" si="85"/>
        <v>14.83883194</v>
      </c>
      <c r="R118" s="81">
        <f t="shared" si="86"/>
        <v>311.6154707</v>
      </c>
    </row>
    <row r="119">
      <c r="A119" s="12"/>
      <c r="B119" s="80" t="s">
        <v>119</v>
      </c>
      <c r="C119" s="87">
        <v>31.0</v>
      </c>
      <c r="D119" s="86">
        <v>0.5083333333333333</v>
      </c>
      <c r="E119" s="88">
        <v>0.08500831624</v>
      </c>
      <c r="F119" s="89">
        <f t="shared" si="78"/>
        <v>5335.023491</v>
      </c>
      <c r="G119" s="81">
        <v>4991.0</v>
      </c>
      <c r="H119" s="81">
        <f t="shared" si="79"/>
        <v>-344.0234912</v>
      </c>
      <c r="I119" s="25">
        <f t="shared" si="80"/>
        <v>2672.854135</v>
      </c>
      <c r="J119" s="64">
        <f>C119*'Rate Codes'!$D$7</f>
        <v>53.490035</v>
      </c>
      <c r="K119" s="25">
        <f>I119*'Rate Codes'!$D$8</f>
        <v>34.62147961</v>
      </c>
      <c r="L119" s="65">
        <f t="shared" si="81"/>
        <v>88.11151461</v>
      </c>
      <c r="M119" s="66">
        <f>I119*'Rate Codes'!$D$8</f>
        <v>34.62147961</v>
      </c>
      <c r="N119" s="67">
        <f t="shared" si="82"/>
        <v>-113.5277521</v>
      </c>
      <c r="O119" s="25">
        <f t="shared" si="83"/>
        <v>122.7329942</v>
      </c>
      <c r="P119" s="81">
        <f t="shared" si="84"/>
        <v>9.20524212</v>
      </c>
      <c r="Q119" s="25">
        <f t="shared" si="85"/>
        <v>6.136649711</v>
      </c>
      <c r="R119" s="81">
        <f t="shared" si="86"/>
        <v>15.34189183</v>
      </c>
    </row>
    <row r="120">
      <c r="A120" s="12"/>
      <c r="B120" s="80" t="s">
        <v>120</v>
      </c>
      <c r="C120" s="87">
        <v>30.0</v>
      </c>
      <c r="D120" s="86">
        <v>0.425</v>
      </c>
      <c r="E120" s="88">
        <v>0.108773175</v>
      </c>
      <c r="F120" s="89">
        <f t="shared" si="78"/>
        <v>6826.478508</v>
      </c>
      <c r="G120" s="81">
        <v>4952.0</v>
      </c>
      <c r="H120" s="81">
        <f t="shared" si="79"/>
        <v>-1874.478508</v>
      </c>
      <c r="I120" s="25">
        <f t="shared" si="80"/>
        <v>2217.21938</v>
      </c>
      <c r="J120" s="64">
        <f>C120*'Rate Codes'!$D$7</f>
        <v>51.76455</v>
      </c>
      <c r="K120" s="25">
        <f>I120*'Rate Codes'!$D$8</f>
        <v>28.71964263</v>
      </c>
      <c r="L120" s="65">
        <f t="shared" si="81"/>
        <v>80.48419263</v>
      </c>
      <c r="M120" s="66">
        <f>I120*'Rate Codes'!$D$8</f>
        <v>28.71964263</v>
      </c>
      <c r="N120" s="67">
        <f t="shared" si="82"/>
        <v>-618.5779077</v>
      </c>
      <c r="O120" s="25">
        <f t="shared" si="83"/>
        <v>109.2038353</v>
      </c>
      <c r="P120" s="81">
        <f t="shared" si="84"/>
        <v>-509.3740725</v>
      </c>
      <c r="Q120" s="25">
        <f t="shared" si="85"/>
        <v>5.460191763</v>
      </c>
      <c r="R120" s="81">
        <f t="shared" si="86"/>
        <v>-503.9138807</v>
      </c>
    </row>
    <row r="121">
      <c r="A121" s="12"/>
      <c r="B121" s="80" t="s">
        <v>98</v>
      </c>
      <c r="C121" s="87">
        <v>31.0</v>
      </c>
      <c r="D121" s="86">
        <v>0.35277916666666664</v>
      </c>
      <c r="E121" s="88">
        <v>0.1281742617</v>
      </c>
      <c r="F121" s="89">
        <f t="shared" si="78"/>
        <v>8044.068244</v>
      </c>
      <c r="G121" s="81">
        <v>5559.0</v>
      </c>
      <c r="H121" s="81">
        <f t="shared" si="79"/>
        <v>-2485.068244</v>
      </c>
      <c r="I121" s="25">
        <f t="shared" si="80"/>
        <v>2066.039898</v>
      </c>
      <c r="J121" s="64">
        <f>C121*'Rate Codes'!$D$7</f>
        <v>53.490035</v>
      </c>
      <c r="K121" s="25">
        <f>I121*'Rate Codes'!$D$8</f>
        <v>26.76141479</v>
      </c>
      <c r="L121" s="65">
        <f t="shared" si="81"/>
        <v>80.25144979</v>
      </c>
      <c r="M121" s="66">
        <f>I121*'Rate Codes'!$D$8</f>
        <v>26.76141479</v>
      </c>
      <c r="N121" s="67">
        <f t="shared" si="82"/>
        <v>-820.0725205</v>
      </c>
      <c r="O121" s="25">
        <f t="shared" si="83"/>
        <v>107.0128646</v>
      </c>
      <c r="P121" s="81">
        <f t="shared" si="84"/>
        <v>-713.0596559</v>
      </c>
      <c r="Q121" s="25">
        <f t="shared" si="85"/>
        <v>5.350643229</v>
      </c>
      <c r="R121" s="81">
        <f t="shared" si="86"/>
        <v>-707.7090127</v>
      </c>
    </row>
    <row r="122">
      <c r="A122" s="12"/>
      <c r="B122" s="80" t="s">
        <v>121</v>
      </c>
      <c r="C122" s="87">
        <v>30.0</v>
      </c>
      <c r="D122" s="86">
        <v>0.31388750000000004</v>
      </c>
      <c r="E122" s="88">
        <v>0.1254860808</v>
      </c>
      <c r="F122" s="89">
        <f t="shared" si="78"/>
        <v>7875.361123</v>
      </c>
      <c r="G122" s="81">
        <v>4964.0</v>
      </c>
      <c r="H122" s="81">
        <f t="shared" si="79"/>
        <v>-2911.361123</v>
      </c>
      <c r="I122" s="25">
        <f t="shared" si="80"/>
        <v>1641.515144</v>
      </c>
      <c r="J122" s="64">
        <f>C122*'Rate Codes'!$D$7</f>
        <v>51.76455</v>
      </c>
      <c r="K122" s="25">
        <f>I122*'Rate Codes'!$D$8</f>
        <v>21.26254566</v>
      </c>
      <c r="L122" s="65">
        <f t="shared" si="81"/>
        <v>73.02709566</v>
      </c>
      <c r="M122" s="66">
        <f>I122*'Rate Codes'!$D$8</f>
        <v>21.26254566</v>
      </c>
      <c r="N122" s="67">
        <f t="shared" si="82"/>
        <v>-960.7491707</v>
      </c>
      <c r="O122" s="25">
        <f t="shared" si="83"/>
        <v>94.28964133</v>
      </c>
      <c r="P122" s="81">
        <f t="shared" si="84"/>
        <v>-866.4595294</v>
      </c>
      <c r="Q122" s="25">
        <f t="shared" si="85"/>
        <v>4.714482066</v>
      </c>
      <c r="R122" s="81">
        <f t="shared" si="86"/>
        <v>-861.7450474</v>
      </c>
    </row>
    <row r="123">
      <c r="A123" s="12"/>
      <c r="B123" s="80" t="s">
        <v>122</v>
      </c>
      <c r="C123" s="87">
        <v>31.0</v>
      </c>
      <c r="D123" s="86">
        <v>0.33125</v>
      </c>
      <c r="E123" s="88">
        <v>0.1449493112</v>
      </c>
      <c r="F123" s="89">
        <f t="shared" si="78"/>
        <v>9096.850926</v>
      </c>
      <c r="G123" s="81">
        <v>6634.0</v>
      </c>
      <c r="H123" s="81">
        <f t="shared" si="79"/>
        <v>-2462.850926</v>
      </c>
      <c r="I123" s="25">
        <f t="shared" si="80"/>
        <v>2315.103727</v>
      </c>
      <c r="J123" s="64">
        <f>C123*'Rate Codes'!$D$7</f>
        <v>53.490035</v>
      </c>
      <c r="K123" s="25">
        <f>I123*'Rate Codes'!$D$8</f>
        <v>29.98753857</v>
      </c>
      <c r="L123" s="65">
        <f t="shared" si="81"/>
        <v>83.47757357</v>
      </c>
      <c r="M123" s="66">
        <f>I123*'Rate Codes'!$D$8</f>
        <v>29.98753857</v>
      </c>
      <c r="N123" s="67">
        <f t="shared" si="82"/>
        <v>-812.7408055</v>
      </c>
      <c r="O123" s="25">
        <f t="shared" si="83"/>
        <v>113.4651121</v>
      </c>
      <c r="P123" s="81">
        <f t="shared" si="84"/>
        <v>-699.2756934</v>
      </c>
      <c r="Q123" s="25">
        <f t="shared" si="85"/>
        <v>5.673255607</v>
      </c>
      <c r="R123" s="81">
        <f t="shared" si="86"/>
        <v>-693.6024378</v>
      </c>
    </row>
    <row r="124">
      <c r="A124" s="12"/>
      <c r="B124" s="80" t="s">
        <v>123</v>
      </c>
      <c r="C124" s="87">
        <v>31.0</v>
      </c>
      <c r="D124" s="86">
        <v>0.3951375</v>
      </c>
      <c r="E124" s="88">
        <v>0.1246952409</v>
      </c>
      <c r="F124" s="89">
        <f t="shared" si="78"/>
        <v>7825.728927</v>
      </c>
      <c r="G124" s="81">
        <v>5909.0</v>
      </c>
      <c r="H124" s="81">
        <f t="shared" si="79"/>
        <v>-1916.728927</v>
      </c>
      <c r="I124" s="25">
        <f t="shared" si="80"/>
        <v>2459.808725</v>
      </c>
      <c r="J124" s="64">
        <f>C124*'Rate Codes'!$D$7</f>
        <v>53.490035</v>
      </c>
      <c r="K124" s="25">
        <f>I124*'Rate Codes'!$D$8</f>
        <v>31.86190242</v>
      </c>
      <c r="L124" s="65">
        <f t="shared" si="81"/>
        <v>85.35193742</v>
      </c>
      <c r="M124" s="66">
        <f>I124*'Rate Codes'!$D$8</f>
        <v>31.86190242</v>
      </c>
      <c r="N124" s="67">
        <f t="shared" si="82"/>
        <v>-632.5205459</v>
      </c>
      <c r="O124" s="25">
        <f t="shared" si="83"/>
        <v>117.2138398</v>
      </c>
      <c r="P124" s="81">
        <f t="shared" si="84"/>
        <v>-515.3067061</v>
      </c>
      <c r="Q124" s="25">
        <f t="shared" si="85"/>
        <v>5.860691992</v>
      </c>
      <c r="R124" s="81">
        <f t="shared" si="86"/>
        <v>-509.4460141</v>
      </c>
    </row>
    <row r="125">
      <c r="A125" s="12"/>
      <c r="B125" s="80" t="s">
        <v>124</v>
      </c>
      <c r="C125" s="87">
        <v>30.0</v>
      </c>
      <c r="D125" s="86">
        <v>0.4756958333333334</v>
      </c>
      <c r="E125" s="88">
        <v>0.09825803101</v>
      </c>
      <c r="F125" s="89">
        <f t="shared" si="78"/>
        <v>6166.560248</v>
      </c>
      <c r="G125" s="81">
        <v>5270.0</v>
      </c>
      <c r="H125" s="81">
        <f t="shared" si="79"/>
        <v>-896.5602476</v>
      </c>
      <c r="I125" s="25">
        <f t="shared" si="80"/>
        <v>2641.064834</v>
      </c>
      <c r="J125" s="64">
        <f>C125*'Rate Codes'!$D$7</f>
        <v>51.76455</v>
      </c>
      <c r="K125" s="25">
        <f>I125*'Rate Codes'!$D$8</f>
        <v>34.20971279</v>
      </c>
      <c r="L125" s="65">
        <f t="shared" si="81"/>
        <v>85.97426279</v>
      </c>
      <c r="M125" s="66">
        <f>I125*'Rate Codes'!$D$8</f>
        <v>34.20971279</v>
      </c>
      <c r="N125" s="67">
        <f t="shared" si="82"/>
        <v>-295.8648817</v>
      </c>
      <c r="O125" s="25">
        <f t="shared" si="83"/>
        <v>120.1839756</v>
      </c>
      <c r="P125" s="81">
        <f t="shared" si="84"/>
        <v>-175.6809061</v>
      </c>
      <c r="Q125" s="25">
        <f t="shared" si="85"/>
        <v>6.009198779</v>
      </c>
      <c r="R125" s="81">
        <f t="shared" si="86"/>
        <v>-169.6717073</v>
      </c>
    </row>
    <row r="126">
      <c r="A126" s="12"/>
      <c r="B126" s="80" t="s">
        <v>125</v>
      </c>
      <c r="C126" s="87">
        <v>31.0</v>
      </c>
      <c r="D126" s="86">
        <v>0.5590291666666667</v>
      </c>
      <c r="E126" s="88">
        <v>0.06840443866</v>
      </c>
      <c r="F126" s="89">
        <f t="shared" si="78"/>
        <v>4292.983361</v>
      </c>
      <c r="G126" s="81">
        <v>5946.0</v>
      </c>
      <c r="H126" s="81">
        <f t="shared" si="79"/>
        <v>1653.016639</v>
      </c>
      <c r="I126" s="25">
        <f t="shared" si="80"/>
        <v>3501.857521</v>
      </c>
      <c r="J126" s="64">
        <f>C126*'Rate Codes'!$D$7</f>
        <v>53.490035</v>
      </c>
      <c r="K126" s="25">
        <f>I126*'Rate Codes'!$D$8</f>
        <v>45.35956046</v>
      </c>
      <c r="L126" s="65">
        <f t="shared" si="81"/>
        <v>98.84959546</v>
      </c>
      <c r="M126" s="66">
        <f>I126*'Rate Codes'!$D$8</f>
        <v>45.35956046</v>
      </c>
      <c r="N126" s="67">
        <f t="shared" si="82"/>
        <v>113.8928464</v>
      </c>
      <c r="O126" s="25">
        <f t="shared" si="83"/>
        <v>144.2091559</v>
      </c>
      <c r="P126" s="81">
        <f t="shared" si="84"/>
        <v>258.1020024</v>
      </c>
      <c r="Q126" s="25">
        <f t="shared" si="85"/>
        <v>12.90510012</v>
      </c>
      <c r="R126" s="81">
        <f t="shared" si="86"/>
        <v>271.0071025</v>
      </c>
    </row>
    <row r="127">
      <c r="A127" s="12"/>
      <c r="B127" s="80" t="s">
        <v>126</v>
      </c>
      <c r="C127" s="87">
        <v>30.0</v>
      </c>
      <c r="D127" s="86">
        <v>0.63125</v>
      </c>
      <c r="E127" s="88">
        <v>0.0271408052</v>
      </c>
      <c r="F127" s="89">
        <f t="shared" si="78"/>
        <v>1703.325506</v>
      </c>
      <c r="G127" s="81">
        <v>5587.0</v>
      </c>
      <c r="H127" s="81">
        <f t="shared" si="79"/>
        <v>3883.674494</v>
      </c>
      <c r="I127" s="25">
        <f t="shared" si="80"/>
        <v>3715.516227</v>
      </c>
      <c r="J127" s="64">
        <f>C127*'Rate Codes'!$D$7</f>
        <v>51.76455</v>
      </c>
      <c r="K127" s="25">
        <f>I127*'Rate Codes'!$D$8</f>
        <v>48.12708169</v>
      </c>
      <c r="L127" s="65">
        <f t="shared" si="81"/>
        <v>99.89163169</v>
      </c>
      <c r="M127" s="66">
        <f>I127*'Rate Codes'!$D$8</f>
        <v>48.12708169</v>
      </c>
      <c r="N127" s="67">
        <f t="shared" si="82"/>
        <v>267.5851726</v>
      </c>
      <c r="O127" s="25">
        <f t="shared" si="83"/>
        <v>148.0187134</v>
      </c>
      <c r="P127" s="81">
        <f t="shared" si="84"/>
        <v>415.603886</v>
      </c>
      <c r="Q127" s="25">
        <f t="shared" si="85"/>
        <v>20.7801943</v>
      </c>
      <c r="R127" s="81">
        <f t="shared" si="86"/>
        <v>436.3840803</v>
      </c>
    </row>
    <row r="128">
      <c r="A128" s="12"/>
      <c r="B128" s="80" t="s">
        <v>127</v>
      </c>
      <c r="C128" s="87">
        <v>31.0</v>
      </c>
      <c r="D128" s="86">
        <v>0.6680541666666667</v>
      </c>
      <c r="E128" s="88">
        <v>0.01559005293</v>
      </c>
      <c r="F128" s="89">
        <f t="shared" si="78"/>
        <v>978.4136693</v>
      </c>
      <c r="G128" s="81">
        <v>5490.0</v>
      </c>
      <c r="H128" s="81">
        <f t="shared" si="79"/>
        <v>4511.586331</v>
      </c>
      <c r="I128" s="25">
        <f t="shared" si="80"/>
        <v>3863.875474</v>
      </c>
      <c r="J128" s="64">
        <f>C128*'Rate Codes'!$D$7</f>
        <v>53.490035</v>
      </c>
      <c r="K128" s="25">
        <f>I128*'Rate Codes'!$D$8</f>
        <v>50.04877902</v>
      </c>
      <c r="L128" s="65">
        <f t="shared" si="81"/>
        <v>103.538814</v>
      </c>
      <c r="M128" s="66">
        <f>I128*'Rate Codes'!$D$8</f>
        <v>50.04877902</v>
      </c>
      <c r="N128" s="67">
        <f t="shared" si="82"/>
        <v>310.8482982</v>
      </c>
      <c r="O128" s="25">
        <f t="shared" si="83"/>
        <v>153.587593</v>
      </c>
      <c r="P128" s="81">
        <f t="shared" si="84"/>
        <v>464.4358912</v>
      </c>
      <c r="Q128" s="25">
        <f t="shared" si="85"/>
        <v>23.22179456</v>
      </c>
      <c r="R128" s="81">
        <f t="shared" si="86"/>
        <v>487.6576858</v>
      </c>
    </row>
    <row r="129">
      <c r="A129" s="12"/>
      <c r="B129" s="77" t="s">
        <v>109</v>
      </c>
      <c r="C129" s="82"/>
      <c r="D129" s="83"/>
      <c r="E129" s="83">
        <f t="shared" ref="E129:N129" si="87">SUM(E117:E128)</f>
        <v>1</v>
      </c>
      <c r="F129" s="84">
        <f t="shared" si="87"/>
        <v>62758.84204</v>
      </c>
      <c r="G129" s="85">
        <f t="shared" si="87"/>
        <v>66307</v>
      </c>
      <c r="H129" s="85">
        <f t="shared" si="87"/>
        <v>3548.157957</v>
      </c>
      <c r="I129" s="48">
        <f t="shared" si="87"/>
        <v>34266.85288</v>
      </c>
      <c r="J129" s="85">
        <f t="shared" si="87"/>
        <v>629.802025</v>
      </c>
      <c r="K129" s="85">
        <f t="shared" si="87"/>
        <v>443.8585454</v>
      </c>
      <c r="L129" s="85">
        <f t="shared" si="87"/>
        <v>1073.66057</v>
      </c>
      <c r="M129" s="85">
        <f t="shared" si="87"/>
        <v>443.8585454</v>
      </c>
      <c r="N129" s="85">
        <f t="shared" si="87"/>
        <v>-3121.390677</v>
      </c>
      <c r="O129" s="48">
        <f t="shared" si="83"/>
        <v>1517.519116</v>
      </c>
      <c r="P129" s="85">
        <f t="shared" ref="P129:R129" si="88">SUM(P117:P128)</f>
        <v>-1603.871561</v>
      </c>
      <c r="Q129" s="85">
        <f t="shared" si="88"/>
        <v>132.5091012</v>
      </c>
      <c r="R129" s="85">
        <f t="shared" si="88"/>
        <v>-1471.36246</v>
      </c>
    </row>
    <row r="131">
      <c r="A131" s="76">
        <v>8.0</v>
      </c>
      <c r="B131" s="12" t="s">
        <v>128</v>
      </c>
      <c r="C131" s="12"/>
      <c r="D131" s="15"/>
      <c r="E131" s="15">
        <f>$E$1* POWER((1 -$H$1),A131)</f>
        <v>62445.04783</v>
      </c>
      <c r="F131" s="1" t="s">
        <v>132</v>
      </c>
      <c r="G131" s="8">
        <f>E131/G145</f>
        <v>0.9417564938</v>
      </c>
      <c r="H131" s="1" t="s">
        <v>133</v>
      </c>
      <c r="I131" s="6">
        <f>1-G131</f>
        <v>0.05824350623</v>
      </c>
      <c r="J131" s="12" t="s">
        <v>74</v>
      </c>
      <c r="M131" s="12" t="s">
        <v>78</v>
      </c>
      <c r="N131" s="12"/>
      <c r="O131" s="12"/>
      <c r="P131" s="12"/>
      <c r="Q131" s="12"/>
      <c r="R131" s="12"/>
    </row>
    <row r="132">
      <c r="A132" s="12"/>
      <c r="B132" s="77" t="s">
        <v>83</v>
      </c>
      <c r="C132" s="78" t="s">
        <v>88</v>
      </c>
      <c r="D132" s="44" t="s">
        <v>87</v>
      </c>
      <c r="E132" s="77" t="s">
        <v>140</v>
      </c>
      <c r="F132" s="77" t="s">
        <v>135</v>
      </c>
      <c r="G132" s="78" t="s">
        <v>89</v>
      </c>
      <c r="H132" s="78" t="s">
        <v>138</v>
      </c>
      <c r="I132" s="20" t="s">
        <v>139</v>
      </c>
      <c r="J132" s="78" t="s">
        <v>76</v>
      </c>
      <c r="K132" s="78" t="s">
        <v>82</v>
      </c>
      <c r="L132" s="78" t="s">
        <v>109</v>
      </c>
      <c r="M132" s="78" t="s">
        <v>80</v>
      </c>
      <c r="N132" s="78" t="s">
        <v>67</v>
      </c>
      <c r="O132" s="45" t="s">
        <v>114</v>
      </c>
      <c r="P132" s="79" t="s">
        <v>115</v>
      </c>
      <c r="Q132" s="79" t="s">
        <v>60</v>
      </c>
      <c r="R132" s="79" t="s">
        <v>109</v>
      </c>
    </row>
    <row r="133">
      <c r="A133" s="12"/>
      <c r="B133" s="80" t="s">
        <v>117</v>
      </c>
      <c r="C133" s="87">
        <v>31.0</v>
      </c>
      <c r="D133" s="86">
        <v>0.6479166666666667</v>
      </c>
      <c r="E133" s="88">
        <v>0.02731296772</v>
      </c>
      <c r="F133" s="89">
        <f t="shared" ref="F133:F144" si="89">$E$131*E133</f>
        <v>1705.559576</v>
      </c>
      <c r="G133" s="81">
        <v>5726.0</v>
      </c>
      <c r="H133" s="81">
        <f t="shared" ref="H133:H144" si="90">G133-F133</f>
        <v>4020.440424</v>
      </c>
      <c r="I133" s="25">
        <f t="shared" ref="I133:I144" si="91">D133*G133*(1+$I$131)</f>
        <v>3926.052543</v>
      </c>
      <c r="J133" s="64">
        <f>C133*'Rate Codes'!$D$7</f>
        <v>53.490035</v>
      </c>
      <c r="K133" s="25">
        <f>I133*'Rate Codes'!$D$8</f>
        <v>50.85415859</v>
      </c>
      <c r="L133" s="65">
        <f t="shared" ref="L133:L144" si="92">SUM(J133:K133)</f>
        <v>104.3441936</v>
      </c>
      <c r="M133" s="66">
        <f>I133*'Rate Codes'!$D$8</f>
        <v>50.85415859</v>
      </c>
      <c r="N133" s="67">
        <f t="shared" ref="N133:N144" si="93">H133*IF(D133&gt;51%,0.0689,0.33)</f>
        <v>277.0083452</v>
      </c>
      <c r="O133" s="25">
        <f t="shared" ref="O133:O145" si="94">L133+M133</f>
        <v>155.1983522</v>
      </c>
      <c r="P133" s="81">
        <f t="shared" ref="P133:P144" si="95">N133+L133+M133</f>
        <v>432.2066974</v>
      </c>
      <c r="Q133" s="25">
        <f t="shared" ref="Q133:Q144" si="96">(IF(N133&gt;0,N133,0)+O133)*0.05</f>
        <v>21.61033487</v>
      </c>
      <c r="R133" s="81">
        <f t="shared" ref="R133:R144" si="97">P133+Q133</f>
        <v>453.8170323</v>
      </c>
    </row>
    <row r="134">
      <c r="A134" s="12"/>
      <c r="B134" s="80" t="s">
        <v>118</v>
      </c>
      <c r="C134" s="87">
        <v>28.0</v>
      </c>
      <c r="D134" s="86">
        <v>0.5868041666666667</v>
      </c>
      <c r="E134" s="88">
        <v>0.04620731865</v>
      </c>
      <c r="F134" s="89">
        <f t="shared" si="89"/>
        <v>2885.418223</v>
      </c>
      <c r="G134" s="81">
        <v>5279.0</v>
      </c>
      <c r="H134" s="81">
        <f t="shared" si="90"/>
        <v>2393.581777</v>
      </c>
      <c r="I134" s="25">
        <f t="shared" si="91"/>
        <v>3278.162388</v>
      </c>
      <c r="J134" s="64">
        <f>C134*'Rate Codes'!$D$7</f>
        <v>48.31358</v>
      </c>
      <c r="K134" s="25">
        <f>I134*'Rate Codes'!$D$8</f>
        <v>42.46203741</v>
      </c>
      <c r="L134" s="65">
        <f t="shared" si="92"/>
        <v>90.77561741</v>
      </c>
      <c r="M134" s="66">
        <f>I134*'Rate Codes'!$D$8</f>
        <v>42.46203741</v>
      </c>
      <c r="N134" s="67">
        <f t="shared" si="93"/>
        <v>164.9177844</v>
      </c>
      <c r="O134" s="25">
        <f t="shared" si="94"/>
        <v>133.2376548</v>
      </c>
      <c r="P134" s="81">
        <f t="shared" si="95"/>
        <v>298.1554392</v>
      </c>
      <c r="Q134" s="25">
        <f t="shared" si="96"/>
        <v>14.90777196</v>
      </c>
      <c r="R134" s="81">
        <f t="shared" si="97"/>
        <v>313.0632112</v>
      </c>
    </row>
    <row r="135">
      <c r="A135" s="12"/>
      <c r="B135" s="80" t="s">
        <v>119</v>
      </c>
      <c r="C135" s="87">
        <v>31.0</v>
      </c>
      <c r="D135" s="86">
        <v>0.5083333333333333</v>
      </c>
      <c r="E135" s="88">
        <v>0.08500831624</v>
      </c>
      <c r="F135" s="89">
        <f t="shared" si="89"/>
        <v>5308.348374</v>
      </c>
      <c r="G135" s="81">
        <v>4991.0</v>
      </c>
      <c r="H135" s="81">
        <f t="shared" si="90"/>
        <v>-317.3483738</v>
      </c>
      <c r="I135" s="25">
        <f t="shared" si="91"/>
        <v>2684.860781</v>
      </c>
      <c r="J135" s="64">
        <f>C135*'Rate Codes'!$D$7</f>
        <v>53.490035</v>
      </c>
      <c r="K135" s="25">
        <f>I135*'Rate Codes'!$D$8</f>
        <v>34.7770017</v>
      </c>
      <c r="L135" s="65">
        <f t="shared" si="92"/>
        <v>88.2670367</v>
      </c>
      <c r="M135" s="66">
        <f>I135*'Rate Codes'!$D$8</f>
        <v>34.7770017</v>
      </c>
      <c r="N135" s="67">
        <f t="shared" si="93"/>
        <v>-104.7249633</v>
      </c>
      <c r="O135" s="25">
        <f t="shared" si="94"/>
        <v>123.0440384</v>
      </c>
      <c r="P135" s="81">
        <f t="shared" si="95"/>
        <v>18.31907505</v>
      </c>
      <c r="Q135" s="25">
        <f t="shared" si="96"/>
        <v>6.15220192</v>
      </c>
      <c r="R135" s="81">
        <f t="shared" si="97"/>
        <v>24.47127697</v>
      </c>
    </row>
    <row r="136">
      <c r="A136" s="12"/>
      <c r="B136" s="80" t="s">
        <v>120</v>
      </c>
      <c r="C136" s="87">
        <v>30.0</v>
      </c>
      <c r="D136" s="86">
        <v>0.425</v>
      </c>
      <c r="E136" s="88">
        <v>0.108773175</v>
      </c>
      <c r="F136" s="89">
        <f t="shared" si="89"/>
        <v>6792.346116</v>
      </c>
      <c r="G136" s="81">
        <v>4952.0</v>
      </c>
      <c r="H136" s="81">
        <f t="shared" si="90"/>
        <v>-1840.346116</v>
      </c>
      <c r="I136" s="25">
        <f t="shared" si="91"/>
        <v>2227.179283</v>
      </c>
      <c r="J136" s="64">
        <f>C136*'Rate Codes'!$D$7</f>
        <v>51.76455</v>
      </c>
      <c r="K136" s="25">
        <f>I136*'Rate Codes'!$D$8</f>
        <v>28.84865326</v>
      </c>
      <c r="L136" s="65">
        <f t="shared" si="92"/>
        <v>80.61320326</v>
      </c>
      <c r="M136" s="66">
        <f>I136*'Rate Codes'!$D$8</f>
        <v>28.84865326</v>
      </c>
      <c r="N136" s="67">
        <f t="shared" si="93"/>
        <v>-607.3142182</v>
      </c>
      <c r="O136" s="25">
        <f t="shared" si="94"/>
        <v>109.4618565</v>
      </c>
      <c r="P136" s="81">
        <f t="shared" si="95"/>
        <v>-497.8523617</v>
      </c>
      <c r="Q136" s="25">
        <f t="shared" si="96"/>
        <v>5.473092826</v>
      </c>
      <c r="R136" s="81">
        <f t="shared" si="97"/>
        <v>-492.3792689</v>
      </c>
    </row>
    <row r="137">
      <c r="A137" s="12"/>
      <c r="B137" s="80" t="s">
        <v>98</v>
      </c>
      <c r="C137" s="87">
        <v>31.0</v>
      </c>
      <c r="D137" s="86">
        <v>0.35277916666666664</v>
      </c>
      <c r="E137" s="88">
        <v>0.1281742617</v>
      </c>
      <c r="F137" s="89">
        <f t="shared" si="89"/>
        <v>8003.847903</v>
      </c>
      <c r="G137" s="81">
        <v>5559.0</v>
      </c>
      <c r="H137" s="81">
        <f t="shared" si="90"/>
        <v>-2444.847903</v>
      </c>
      <c r="I137" s="25">
        <f t="shared" si="91"/>
        <v>2075.320692</v>
      </c>
      <c r="J137" s="64">
        <f>C137*'Rate Codes'!$D$7</f>
        <v>53.490035</v>
      </c>
      <c r="K137" s="25">
        <f>I137*'Rate Codes'!$D$8</f>
        <v>26.88162892</v>
      </c>
      <c r="L137" s="65">
        <f t="shared" si="92"/>
        <v>80.37166392</v>
      </c>
      <c r="M137" s="66">
        <f>I137*'Rate Codes'!$D$8</f>
        <v>26.88162892</v>
      </c>
      <c r="N137" s="67">
        <f t="shared" si="93"/>
        <v>-806.7998079</v>
      </c>
      <c r="O137" s="25">
        <f t="shared" si="94"/>
        <v>107.2532928</v>
      </c>
      <c r="P137" s="81">
        <f t="shared" si="95"/>
        <v>-699.5465151</v>
      </c>
      <c r="Q137" s="25">
        <f t="shared" si="96"/>
        <v>5.362664642</v>
      </c>
      <c r="R137" s="81">
        <f t="shared" si="97"/>
        <v>-694.1838504</v>
      </c>
    </row>
    <row r="138">
      <c r="A138" s="12"/>
      <c r="B138" s="80" t="s">
        <v>121</v>
      </c>
      <c r="C138" s="87">
        <v>30.0</v>
      </c>
      <c r="D138" s="86">
        <v>0.31388750000000004</v>
      </c>
      <c r="E138" s="88">
        <v>0.1254860808</v>
      </c>
      <c r="F138" s="89">
        <f t="shared" si="89"/>
        <v>7835.984318</v>
      </c>
      <c r="G138" s="81">
        <v>4964.0</v>
      </c>
      <c r="H138" s="81">
        <f t="shared" si="90"/>
        <v>-2871.984318</v>
      </c>
      <c r="I138" s="25">
        <f t="shared" si="91"/>
        <v>1648.888944</v>
      </c>
      <c r="J138" s="64">
        <f>C138*'Rate Codes'!$D$7</f>
        <v>51.76455</v>
      </c>
      <c r="K138" s="25">
        <f>I138*'Rate Codes'!$D$8</f>
        <v>21.35805849</v>
      </c>
      <c r="L138" s="65">
        <f t="shared" si="92"/>
        <v>73.12260849</v>
      </c>
      <c r="M138" s="66">
        <f>I138*'Rate Codes'!$D$8</f>
        <v>21.35805849</v>
      </c>
      <c r="N138" s="67">
        <f t="shared" si="93"/>
        <v>-947.7548249</v>
      </c>
      <c r="O138" s="25">
        <f t="shared" si="94"/>
        <v>94.48066699</v>
      </c>
      <c r="P138" s="81">
        <f t="shared" si="95"/>
        <v>-853.2741579</v>
      </c>
      <c r="Q138" s="25">
        <f t="shared" si="96"/>
        <v>4.724033349</v>
      </c>
      <c r="R138" s="81">
        <f t="shared" si="97"/>
        <v>-848.5501246</v>
      </c>
    </row>
    <row r="139">
      <c r="A139" s="12"/>
      <c r="B139" s="80" t="s">
        <v>122</v>
      </c>
      <c r="C139" s="87">
        <v>31.0</v>
      </c>
      <c r="D139" s="86">
        <v>0.33125</v>
      </c>
      <c r="E139" s="88">
        <v>0.1449493112</v>
      </c>
      <c r="F139" s="89">
        <f t="shared" si="89"/>
        <v>9051.366671</v>
      </c>
      <c r="G139" s="81">
        <v>6634.0</v>
      </c>
      <c r="H139" s="81">
        <f t="shared" si="90"/>
        <v>-2417.366671</v>
      </c>
      <c r="I139" s="25">
        <f t="shared" si="91"/>
        <v>2325.503333</v>
      </c>
      <c r="J139" s="64">
        <f>C139*'Rate Codes'!$D$7</f>
        <v>53.490035</v>
      </c>
      <c r="K139" s="25">
        <f>I139*'Rate Codes'!$D$8</f>
        <v>30.12224467</v>
      </c>
      <c r="L139" s="65">
        <f t="shared" si="92"/>
        <v>83.61227967</v>
      </c>
      <c r="M139" s="66">
        <f>I139*'Rate Codes'!$D$8</f>
        <v>30.12224467</v>
      </c>
      <c r="N139" s="67">
        <f t="shared" si="93"/>
        <v>-797.7310015</v>
      </c>
      <c r="O139" s="25">
        <f t="shared" si="94"/>
        <v>113.7345243</v>
      </c>
      <c r="P139" s="81">
        <f t="shared" si="95"/>
        <v>-683.9964771</v>
      </c>
      <c r="Q139" s="25">
        <f t="shared" si="96"/>
        <v>5.686726217</v>
      </c>
      <c r="R139" s="81">
        <f t="shared" si="97"/>
        <v>-678.3097509</v>
      </c>
    </row>
    <row r="140">
      <c r="A140" s="12"/>
      <c r="B140" s="80" t="s">
        <v>123</v>
      </c>
      <c r="C140" s="87">
        <v>31.0</v>
      </c>
      <c r="D140" s="86">
        <v>0.3951375</v>
      </c>
      <c r="E140" s="88">
        <v>0.1246952409</v>
      </c>
      <c r="F140" s="89">
        <f t="shared" si="89"/>
        <v>7786.600282</v>
      </c>
      <c r="G140" s="81">
        <v>5909.0</v>
      </c>
      <c r="H140" s="81">
        <f t="shared" si="90"/>
        <v>-1877.600282</v>
      </c>
      <c r="I140" s="25">
        <f t="shared" si="91"/>
        <v>2470.858357</v>
      </c>
      <c r="J140" s="64">
        <f>C140*'Rate Codes'!$D$7</f>
        <v>53.490035</v>
      </c>
      <c r="K140" s="25">
        <f>I140*'Rate Codes'!$D$8</f>
        <v>32.00502829</v>
      </c>
      <c r="L140" s="65">
        <f t="shared" si="92"/>
        <v>85.49506329</v>
      </c>
      <c r="M140" s="66">
        <f>I140*'Rate Codes'!$D$8</f>
        <v>32.00502829</v>
      </c>
      <c r="N140" s="67">
        <f t="shared" si="93"/>
        <v>-619.6080932</v>
      </c>
      <c r="O140" s="25">
        <f t="shared" si="94"/>
        <v>117.5000916</v>
      </c>
      <c r="P140" s="81">
        <f t="shared" si="95"/>
        <v>-502.1080016</v>
      </c>
      <c r="Q140" s="25">
        <f t="shared" si="96"/>
        <v>5.875004579</v>
      </c>
      <c r="R140" s="81">
        <f t="shared" si="97"/>
        <v>-496.2329971</v>
      </c>
    </row>
    <row r="141">
      <c r="A141" s="12"/>
      <c r="B141" s="80" t="s">
        <v>124</v>
      </c>
      <c r="C141" s="87">
        <v>30.0</v>
      </c>
      <c r="D141" s="86">
        <v>0.4756958333333334</v>
      </c>
      <c r="E141" s="88">
        <v>0.09825803101</v>
      </c>
      <c r="F141" s="89">
        <f t="shared" si="89"/>
        <v>6135.727446</v>
      </c>
      <c r="G141" s="81">
        <v>5270.0</v>
      </c>
      <c r="H141" s="81">
        <f t="shared" si="90"/>
        <v>-865.7274463</v>
      </c>
      <c r="I141" s="25">
        <f t="shared" si="91"/>
        <v>2652.92868</v>
      </c>
      <c r="J141" s="64">
        <f>C141*'Rate Codes'!$D$7</f>
        <v>51.76455</v>
      </c>
      <c r="K141" s="25">
        <f>I141*'Rate Codes'!$D$8</f>
        <v>34.36338519</v>
      </c>
      <c r="L141" s="65">
        <f t="shared" si="92"/>
        <v>86.12793519</v>
      </c>
      <c r="M141" s="66">
        <f>I141*'Rate Codes'!$D$8</f>
        <v>34.36338519</v>
      </c>
      <c r="N141" s="67">
        <f t="shared" si="93"/>
        <v>-285.6900573</v>
      </c>
      <c r="O141" s="25">
        <f t="shared" si="94"/>
        <v>120.4913204</v>
      </c>
      <c r="P141" s="81">
        <f t="shared" si="95"/>
        <v>-165.1987369</v>
      </c>
      <c r="Q141" s="25">
        <f t="shared" si="96"/>
        <v>6.024566019</v>
      </c>
      <c r="R141" s="81">
        <f t="shared" si="97"/>
        <v>-159.1741709</v>
      </c>
    </row>
    <row r="142">
      <c r="A142" s="12"/>
      <c r="B142" s="80" t="s">
        <v>125</v>
      </c>
      <c r="C142" s="87">
        <v>31.0</v>
      </c>
      <c r="D142" s="86">
        <v>0.5590291666666667</v>
      </c>
      <c r="E142" s="88">
        <v>0.06840443866</v>
      </c>
      <c r="F142" s="89">
        <f t="shared" si="89"/>
        <v>4271.518444</v>
      </c>
      <c r="G142" s="81">
        <v>5946.0</v>
      </c>
      <c r="H142" s="81">
        <f t="shared" si="90"/>
        <v>1674.481556</v>
      </c>
      <c r="I142" s="25">
        <f t="shared" si="91"/>
        <v>3517.588107</v>
      </c>
      <c r="J142" s="64">
        <f>C142*'Rate Codes'!$D$7</f>
        <v>53.490035</v>
      </c>
      <c r="K142" s="25">
        <f>I142*'Rate Codes'!$D$8</f>
        <v>45.56331875</v>
      </c>
      <c r="L142" s="65">
        <f t="shared" si="92"/>
        <v>99.05335375</v>
      </c>
      <c r="M142" s="66">
        <f>I142*'Rate Codes'!$D$8</f>
        <v>45.56331875</v>
      </c>
      <c r="N142" s="67">
        <f t="shared" si="93"/>
        <v>115.3717792</v>
      </c>
      <c r="O142" s="25">
        <f t="shared" si="94"/>
        <v>144.6166725</v>
      </c>
      <c r="P142" s="81">
        <f t="shared" si="95"/>
        <v>259.9884517</v>
      </c>
      <c r="Q142" s="25">
        <f t="shared" si="96"/>
        <v>12.99942259</v>
      </c>
      <c r="R142" s="81">
        <f t="shared" si="97"/>
        <v>272.9878743</v>
      </c>
    </row>
    <row r="143">
      <c r="A143" s="12"/>
      <c r="B143" s="80" t="s">
        <v>126</v>
      </c>
      <c r="C143" s="87">
        <v>30.0</v>
      </c>
      <c r="D143" s="86">
        <v>0.63125</v>
      </c>
      <c r="E143" s="88">
        <v>0.0271408052</v>
      </c>
      <c r="F143" s="89">
        <f t="shared" si="89"/>
        <v>1694.808879</v>
      </c>
      <c r="G143" s="81">
        <v>5587.0</v>
      </c>
      <c r="H143" s="81">
        <f t="shared" si="90"/>
        <v>3892.191121</v>
      </c>
      <c r="I143" s="25">
        <f t="shared" si="91"/>
        <v>3732.206584</v>
      </c>
      <c r="J143" s="64">
        <f>C143*'Rate Codes'!$D$7</f>
        <v>51.76455</v>
      </c>
      <c r="K143" s="25">
        <f>I143*'Rate Codes'!$D$8</f>
        <v>48.34327188</v>
      </c>
      <c r="L143" s="65">
        <f t="shared" si="92"/>
        <v>100.1078219</v>
      </c>
      <c r="M143" s="66">
        <f>I143*'Rate Codes'!$D$8</f>
        <v>48.34327188</v>
      </c>
      <c r="N143" s="67">
        <f t="shared" si="93"/>
        <v>268.1719682</v>
      </c>
      <c r="O143" s="25">
        <f t="shared" si="94"/>
        <v>148.4510938</v>
      </c>
      <c r="P143" s="81">
        <f t="shared" si="95"/>
        <v>416.623062</v>
      </c>
      <c r="Q143" s="25">
        <f t="shared" si="96"/>
        <v>20.8311531</v>
      </c>
      <c r="R143" s="81">
        <f t="shared" si="97"/>
        <v>437.4542151</v>
      </c>
    </row>
    <row r="144">
      <c r="A144" s="12"/>
      <c r="B144" s="80" t="s">
        <v>127</v>
      </c>
      <c r="C144" s="87">
        <v>31.0</v>
      </c>
      <c r="D144" s="86">
        <v>0.6680541666666667</v>
      </c>
      <c r="E144" s="88">
        <v>0.01559005293</v>
      </c>
      <c r="F144" s="89">
        <f t="shared" si="89"/>
        <v>973.5216009</v>
      </c>
      <c r="G144" s="81">
        <v>5490.0</v>
      </c>
      <c r="H144" s="81">
        <f t="shared" si="90"/>
        <v>4516.478399</v>
      </c>
      <c r="I144" s="25">
        <f t="shared" si="91"/>
        <v>3881.23227</v>
      </c>
      <c r="J144" s="64">
        <f>C144*'Rate Codes'!$D$7</f>
        <v>53.490035</v>
      </c>
      <c r="K144" s="25">
        <f>I144*'Rate Codes'!$D$8</f>
        <v>50.2736016</v>
      </c>
      <c r="L144" s="65">
        <f t="shared" si="92"/>
        <v>103.7636366</v>
      </c>
      <c r="M144" s="66">
        <f>I144*'Rate Codes'!$D$8</f>
        <v>50.2736016</v>
      </c>
      <c r="N144" s="67">
        <f t="shared" si="93"/>
        <v>311.1853617</v>
      </c>
      <c r="O144" s="25">
        <f t="shared" si="94"/>
        <v>154.0372382</v>
      </c>
      <c r="P144" s="81">
        <f t="shared" si="95"/>
        <v>465.2225999</v>
      </c>
      <c r="Q144" s="25">
        <f t="shared" si="96"/>
        <v>23.26112999</v>
      </c>
      <c r="R144" s="81">
        <f t="shared" si="97"/>
        <v>488.4837299</v>
      </c>
    </row>
    <row r="145">
      <c r="A145" s="12"/>
      <c r="B145" s="77" t="s">
        <v>109</v>
      </c>
      <c r="C145" s="82"/>
      <c r="D145" s="83"/>
      <c r="E145" s="83">
        <f t="shared" ref="E145:N145" si="98">SUM(E133:E144)</f>
        <v>1</v>
      </c>
      <c r="F145" s="84">
        <f t="shared" si="98"/>
        <v>62445.04783</v>
      </c>
      <c r="G145" s="85">
        <f t="shared" si="98"/>
        <v>66307</v>
      </c>
      <c r="H145" s="85">
        <f t="shared" si="98"/>
        <v>3861.952167</v>
      </c>
      <c r="I145" s="48">
        <f t="shared" si="98"/>
        <v>34420.78196</v>
      </c>
      <c r="J145" s="85">
        <f t="shared" si="98"/>
        <v>629.802025</v>
      </c>
      <c r="K145" s="85">
        <f t="shared" si="98"/>
        <v>445.8523888</v>
      </c>
      <c r="L145" s="85">
        <f t="shared" si="98"/>
        <v>1075.654414</v>
      </c>
      <c r="M145" s="85">
        <f t="shared" si="98"/>
        <v>445.8523888</v>
      </c>
      <c r="N145" s="85">
        <f t="shared" si="98"/>
        <v>-3032.967728</v>
      </c>
      <c r="O145" s="48">
        <f t="shared" si="94"/>
        <v>1521.506803</v>
      </c>
      <c r="P145" s="85">
        <f t="shared" ref="P145:R145" si="99">SUM(P133:P144)</f>
        <v>-1511.460925</v>
      </c>
      <c r="Q145" s="85">
        <f t="shared" si="99"/>
        <v>132.9081021</v>
      </c>
      <c r="R145" s="85">
        <f t="shared" si="99"/>
        <v>-1378.552823</v>
      </c>
    </row>
    <row r="147">
      <c r="A147" s="76">
        <v>9.0</v>
      </c>
      <c r="B147" s="12" t="s">
        <v>128</v>
      </c>
      <c r="C147" s="12"/>
      <c r="D147" s="15"/>
      <c r="E147" s="15">
        <f>$E$1* POWER((1 -$H$1),A147)</f>
        <v>62132.82259</v>
      </c>
      <c r="F147" s="1" t="s">
        <v>132</v>
      </c>
      <c r="G147" s="8">
        <f>E147/G161</f>
        <v>0.9370477113</v>
      </c>
      <c r="H147" s="1" t="s">
        <v>133</v>
      </c>
      <c r="I147" s="6">
        <f>1-G147</f>
        <v>0.0629522887</v>
      </c>
      <c r="J147" s="12" t="s">
        <v>74</v>
      </c>
      <c r="M147" s="12" t="s">
        <v>78</v>
      </c>
      <c r="N147" s="12"/>
      <c r="O147" s="12"/>
      <c r="P147" s="12"/>
      <c r="Q147" s="12"/>
      <c r="R147" s="12"/>
    </row>
    <row r="148">
      <c r="A148" s="12"/>
      <c r="B148" s="77" t="s">
        <v>83</v>
      </c>
      <c r="C148" s="78" t="s">
        <v>88</v>
      </c>
      <c r="D148" s="44" t="s">
        <v>87</v>
      </c>
      <c r="E148" s="77" t="s">
        <v>140</v>
      </c>
      <c r="F148" s="77" t="s">
        <v>135</v>
      </c>
      <c r="G148" s="78" t="s">
        <v>89</v>
      </c>
      <c r="H148" s="78" t="s">
        <v>138</v>
      </c>
      <c r="I148" s="20" t="s">
        <v>139</v>
      </c>
      <c r="J148" s="78" t="s">
        <v>76</v>
      </c>
      <c r="K148" s="78" t="s">
        <v>82</v>
      </c>
      <c r="L148" s="78" t="s">
        <v>109</v>
      </c>
      <c r="M148" s="78" t="s">
        <v>80</v>
      </c>
      <c r="N148" s="78" t="s">
        <v>67</v>
      </c>
      <c r="O148" s="45" t="s">
        <v>114</v>
      </c>
      <c r="P148" s="79" t="s">
        <v>115</v>
      </c>
      <c r="Q148" s="79" t="s">
        <v>60</v>
      </c>
      <c r="R148" s="79" t="s">
        <v>109</v>
      </c>
    </row>
    <row r="149">
      <c r="A149" s="12"/>
      <c r="B149" s="80" t="s">
        <v>117</v>
      </c>
      <c r="C149" s="87">
        <v>31.0</v>
      </c>
      <c r="D149" s="86">
        <v>0.6479166666666667</v>
      </c>
      <c r="E149" s="88">
        <v>0.02731296772</v>
      </c>
      <c r="F149" s="89">
        <f t="shared" ref="F149:F160" si="100">$E$147*E149</f>
        <v>1697.031778</v>
      </c>
      <c r="G149" s="81">
        <v>5726.0</v>
      </c>
      <c r="H149" s="81">
        <f t="shared" ref="H149:H160" si="101">G149-F149</f>
        <v>4028.968222</v>
      </c>
      <c r="I149" s="25">
        <f t="shared" ref="I149:I160" si="102">D149*G149*(1+$I$147)</f>
        <v>3943.521988</v>
      </c>
      <c r="J149" s="64">
        <f>C149*'Rate Codes'!$D$7</f>
        <v>53.490035</v>
      </c>
      <c r="K149" s="25">
        <f>I149*'Rate Codes'!$D$8</f>
        <v>51.08044031</v>
      </c>
      <c r="L149" s="65">
        <f t="shared" ref="L149:L160" si="103">SUM(J149:K149)</f>
        <v>104.5704753</v>
      </c>
      <c r="M149" s="66">
        <f>I149*'Rate Codes'!$D$8</f>
        <v>51.08044031</v>
      </c>
      <c r="N149" s="67">
        <f t="shared" ref="N149:N160" si="104">H149*IF(D149&gt;51%,0.0689,0.33)</f>
        <v>277.5959105</v>
      </c>
      <c r="O149" s="25">
        <f t="shared" ref="O149:O161" si="105">L149+M149</f>
        <v>155.6509156</v>
      </c>
      <c r="P149" s="81">
        <f t="shared" ref="P149:P160" si="106">N149+L149+M149</f>
        <v>433.2468261</v>
      </c>
      <c r="Q149" s="25">
        <f t="shared" ref="Q149:Q160" si="107">(IF(N149&gt;0,N149,0)+O149)*0.05</f>
        <v>21.66234131</v>
      </c>
      <c r="R149" s="81">
        <f t="shared" ref="R149:R160" si="108">P149+Q149</f>
        <v>454.9091674</v>
      </c>
    </row>
    <row r="150">
      <c r="A150" s="12"/>
      <c r="B150" s="80" t="s">
        <v>118</v>
      </c>
      <c r="C150" s="87">
        <v>28.0</v>
      </c>
      <c r="D150" s="86">
        <v>0.5868041666666667</v>
      </c>
      <c r="E150" s="88">
        <v>0.04620731865</v>
      </c>
      <c r="F150" s="89">
        <f t="shared" si="100"/>
        <v>2870.991132</v>
      </c>
      <c r="G150" s="81">
        <v>5279.0</v>
      </c>
      <c r="H150" s="81">
        <f t="shared" si="101"/>
        <v>2408.008868</v>
      </c>
      <c r="I150" s="25">
        <f t="shared" si="102"/>
        <v>3292.748968</v>
      </c>
      <c r="J150" s="64">
        <f>C150*'Rate Codes'!$D$7</f>
        <v>48.31358</v>
      </c>
      <c r="K150" s="25">
        <f>I150*'Rate Codes'!$D$8</f>
        <v>42.65097738</v>
      </c>
      <c r="L150" s="65">
        <f t="shared" si="103"/>
        <v>90.96455738</v>
      </c>
      <c r="M150" s="66">
        <f>I150*'Rate Codes'!$D$8</f>
        <v>42.65097738</v>
      </c>
      <c r="N150" s="67">
        <f t="shared" si="104"/>
        <v>165.911811</v>
      </c>
      <c r="O150" s="25">
        <f t="shared" si="105"/>
        <v>133.6155348</v>
      </c>
      <c r="P150" s="81">
        <f t="shared" si="106"/>
        <v>299.5273458</v>
      </c>
      <c r="Q150" s="25">
        <f t="shared" si="107"/>
        <v>14.97636729</v>
      </c>
      <c r="R150" s="81">
        <f t="shared" si="108"/>
        <v>314.503713</v>
      </c>
    </row>
    <row r="151">
      <c r="A151" s="12"/>
      <c r="B151" s="80" t="s">
        <v>119</v>
      </c>
      <c r="C151" s="87">
        <v>31.0</v>
      </c>
      <c r="D151" s="86">
        <v>0.5083333333333333</v>
      </c>
      <c r="E151" s="88">
        <v>0.08500831624</v>
      </c>
      <c r="F151" s="89">
        <f t="shared" si="100"/>
        <v>5281.806632</v>
      </c>
      <c r="G151" s="81">
        <v>4991.0</v>
      </c>
      <c r="H151" s="81">
        <f t="shared" si="101"/>
        <v>-290.8066319</v>
      </c>
      <c r="I151" s="25">
        <f t="shared" si="102"/>
        <v>2696.807394</v>
      </c>
      <c r="J151" s="64">
        <f>C151*'Rate Codes'!$D$7</f>
        <v>53.490035</v>
      </c>
      <c r="K151" s="25">
        <f>I151*'Rate Codes'!$D$8</f>
        <v>34.93174617</v>
      </c>
      <c r="L151" s="65">
        <f t="shared" si="103"/>
        <v>88.42178117</v>
      </c>
      <c r="M151" s="66">
        <f>I151*'Rate Codes'!$D$8</f>
        <v>34.93174617</v>
      </c>
      <c r="N151" s="67">
        <f t="shared" si="104"/>
        <v>-95.96618852</v>
      </c>
      <c r="O151" s="25">
        <f t="shared" si="105"/>
        <v>123.3535273</v>
      </c>
      <c r="P151" s="81">
        <f t="shared" si="106"/>
        <v>27.38733882</v>
      </c>
      <c r="Q151" s="25">
        <f t="shared" si="107"/>
        <v>6.167676367</v>
      </c>
      <c r="R151" s="81">
        <f t="shared" si="108"/>
        <v>33.55501519</v>
      </c>
    </row>
    <row r="152">
      <c r="A152" s="12"/>
      <c r="B152" s="80" t="s">
        <v>120</v>
      </c>
      <c r="C152" s="87">
        <v>30.0</v>
      </c>
      <c r="D152" s="86">
        <v>0.425</v>
      </c>
      <c r="E152" s="88">
        <v>0.108773175</v>
      </c>
      <c r="F152" s="89">
        <f t="shared" si="100"/>
        <v>6758.384385</v>
      </c>
      <c r="G152" s="81">
        <v>4952.0</v>
      </c>
      <c r="H152" s="81">
        <f t="shared" si="101"/>
        <v>-1806.384385</v>
      </c>
      <c r="I152" s="25">
        <f t="shared" si="102"/>
        <v>2237.089387</v>
      </c>
      <c r="J152" s="64">
        <f>C152*'Rate Codes'!$D$7</f>
        <v>51.76455</v>
      </c>
      <c r="K152" s="25">
        <f>I152*'Rate Codes'!$D$8</f>
        <v>28.97701883</v>
      </c>
      <c r="L152" s="65">
        <f t="shared" si="103"/>
        <v>80.74156883</v>
      </c>
      <c r="M152" s="66">
        <f>I152*'Rate Codes'!$D$8</f>
        <v>28.97701883</v>
      </c>
      <c r="N152" s="67">
        <f t="shared" si="104"/>
        <v>-596.1068471</v>
      </c>
      <c r="O152" s="25">
        <f t="shared" si="105"/>
        <v>109.7185877</v>
      </c>
      <c r="P152" s="81">
        <f t="shared" si="106"/>
        <v>-486.3882595</v>
      </c>
      <c r="Q152" s="25">
        <f t="shared" si="107"/>
        <v>5.485929383</v>
      </c>
      <c r="R152" s="81">
        <f t="shared" si="108"/>
        <v>-480.9023301</v>
      </c>
    </row>
    <row r="153">
      <c r="A153" s="12"/>
      <c r="B153" s="80" t="s">
        <v>98</v>
      </c>
      <c r="C153" s="87">
        <v>31.0</v>
      </c>
      <c r="D153" s="86">
        <v>0.35277916666666664</v>
      </c>
      <c r="E153" s="88">
        <v>0.1281742617</v>
      </c>
      <c r="F153" s="89">
        <f t="shared" si="100"/>
        <v>7963.828663</v>
      </c>
      <c r="G153" s="81">
        <v>5559.0</v>
      </c>
      <c r="H153" s="81">
        <f t="shared" si="101"/>
        <v>-2404.828663</v>
      </c>
      <c r="I153" s="25">
        <f t="shared" si="102"/>
        <v>2084.555082</v>
      </c>
      <c r="J153" s="64">
        <f>C153*'Rate Codes'!$D$7</f>
        <v>53.490035</v>
      </c>
      <c r="K153" s="25">
        <f>I153*'Rate Codes'!$D$8</f>
        <v>27.00124198</v>
      </c>
      <c r="L153" s="65">
        <f t="shared" si="103"/>
        <v>80.49127698</v>
      </c>
      <c r="M153" s="66">
        <f>I153*'Rate Codes'!$D$8</f>
        <v>27.00124198</v>
      </c>
      <c r="N153" s="67">
        <f t="shared" si="104"/>
        <v>-793.5934589</v>
      </c>
      <c r="O153" s="25">
        <f t="shared" si="105"/>
        <v>107.492519</v>
      </c>
      <c r="P153" s="81">
        <f t="shared" si="106"/>
        <v>-686.1009399</v>
      </c>
      <c r="Q153" s="25">
        <f t="shared" si="107"/>
        <v>5.374625948</v>
      </c>
      <c r="R153" s="81">
        <f t="shared" si="108"/>
        <v>-680.726314</v>
      </c>
    </row>
    <row r="154">
      <c r="A154" s="12"/>
      <c r="B154" s="80" t="s">
        <v>121</v>
      </c>
      <c r="C154" s="87">
        <v>30.0</v>
      </c>
      <c r="D154" s="86">
        <v>0.31388750000000004</v>
      </c>
      <c r="E154" s="88">
        <v>0.1254860808</v>
      </c>
      <c r="F154" s="89">
        <f t="shared" si="100"/>
        <v>7796.804396</v>
      </c>
      <c r="G154" s="81">
        <v>4964.0</v>
      </c>
      <c r="H154" s="81">
        <f t="shared" si="101"/>
        <v>-2832.804396</v>
      </c>
      <c r="I154" s="25">
        <f t="shared" si="102"/>
        <v>1656.225875</v>
      </c>
      <c r="J154" s="64">
        <f>C154*'Rate Codes'!$D$7</f>
        <v>51.76455</v>
      </c>
      <c r="K154" s="25">
        <f>I154*'Rate Codes'!$D$8</f>
        <v>21.45309376</v>
      </c>
      <c r="L154" s="65">
        <f t="shared" si="103"/>
        <v>73.21764376</v>
      </c>
      <c r="M154" s="66">
        <f>I154*'Rate Codes'!$D$8</f>
        <v>21.45309376</v>
      </c>
      <c r="N154" s="67">
        <f t="shared" si="104"/>
        <v>-934.8254508</v>
      </c>
      <c r="O154" s="25">
        <f t="shared" si="105"/>
        <v>94.67073751</v>
      </c>
      <c r="P154" s="81">
        <f t="shared" si="106"/>
        <v>-840.1547133</v>
      </c>
      <c r="Q154" s="25">
        <f t="shared" si="107"/>
        <v>4.733536876</v>
      </c>
      <c r="R154" s="81">
        <f t="shared" si="108"/>
        <v>-835.4211764</v>
      </c>
    </row>
    <row r="155">
      <c r="A155" s="12"/>
      <c r="B155" s="80" t="s">
        <v>122</v>
      </c>
      <c r="C155" s="87">
        <v>31.0</v>
      </c>
      <c r="D155" s="86">
        <v>0.33125</v>
      </c>
      <c r="E155" s="88">
        <v>0.1449493112</v>
      </c>
      <c r="F155" s="89">
        <f t="shared" si="100"/>
        <v>9006.109838</v>
      </c>
      <c r="G155" s="81">
        <v>6634.0</v>
      </c>
      <c r="H155" s="81">
        <f t="shared" si="101"/>
        <v>-2372.109838</v>
      </c>
      <c r="I155" s="25">
        <f t="shared" si="102"/>
        <v>2335.850941</v>
      </c>
      <c r="J155" s="64">
        <f>C155*'Rate Codes'!$D$7</f>
        <v>53.490035</v>
      </c>
      <c r="K155" s="25">
        <f>I155*'Rate Codes'!$D$8</f>
        <v>30.25627724</v>
      </c>
      <c r="L155" s="65">
        <f t="shared" si="103"/>
        <v>83.74631224</v>
      </c>
      <c r="M155" s="66">
        <f>I155*'Rate Codes'!$D$8</f>
        <v>30.25627724</v>
      </c>
      <c r="N155" s="67">
        <f t="shared" si="104"/>
        <v>-782.7962465</v>
      </c>
      <c r="O155" s="25">
        <f t="shared" si="105"/>
        <v>114.0025895</v>
      </c>
      <c r="P155" s="81">
        <f t="shared" si="106"/>
        <v>-668.793657</v>
      </c>
      <c r="Q155" s="25">
        <f t="shared" si="107"/>
        <v>5.700129474</v>
      </c>
      <c r="R155" s="81">
        <f t="shared" si="108"/>
        <v>-663.0935275</v>
      </c>
    </row>
    <row r="156">
      <c r="A156" s="12"/>
      <c r="B156" s="80" t="s">
        <v>123</v>
      </c>
      <c r="C156" s="87">
        <v>31.0</v>
      </c>
      <c r="D156" s="86">
        <v>0.3951375</v>
      </c>
      <c r="E156" s="88">
        <v>0.1246952409</v>
      </c>
      <c r="F156" s="89">
        <f t="shared" si="100"/>
        <v>7747.667281</v>
      </c>
      <c r="G156" s="81">
        <v>5909.0</v>
      </c>
      <c r="H156" s="81">
        <f t="shared" si="101"/>
        <v>-1838.667281</v>
      </c>
      <c r="I156" s="25">
        <f t="shared" si="102"/>
        <v>2481.85274</v>
      </c>
      <c r="J156" s="64">
        <f>C156*'Rate Codes'!$D$7</f>
        <v>53.490035</v>
      </c>
      <c r="K156" s="25">
        <f>I156*'Rate Codes'!$D$8</f>
        <v>32.14743854</v>
      </c>
      <c r="L156" s="65">
        <f t="shared" si="103"/>
        <v>85.63747354</v>
      </c>
      <c r="M156" s="66">
        <f>I156*'Rate Codes'!$D$8</f>
        <v>32.14743854</v>
      </c>
      <c r="N156" s="67">
        <f t="shared" si="104"/>
        <v>-606.7602028</v>
      </c>
      <c r="O156" s="25">
        <f t="shared" si="105"/>
        <v>117.7849121</v>
      </c>
      <c r="P156" s="81">
        <f t="shared" si="106"/>
        <v>-488.9752907</v>
      </c>
      <c r="Q156" s="25">
        <f t="shared" si="107"/>
        <v>5.889245604</v>
      </c>
      <c r="R156" s="81">
        <f t="shared" si="108"/>
        <v>-483.0860451</v>
      </c>
    </row>
    <row r="157">
      <c r="A157" s="12"/>
      <c r="B157" s="80" t="s">
        <v>124</v>
      </c>
      <c r="C157" s="87">
        <v>30.0</v>
      </c>
      <c r="D157" s="86">
        <v>0.4756958333333334</v>
      </c>
      <c r="E157" s="88">
        <v>0.09825803101</v>
      </c>
      <c r="F157" s="89">
        <f t="shared" si="100"/>
        <v>6105.048809</v>
      </c>
      <c r="G157" s="81">
        <v>5270.0</v>
      </c>
      <c r="H157" s="81">
        <f t="shared" si="101"/>
        <v>-835.0488091</v>
      </c>
      <c r="I157" s="25">
        <f t="shared" si="102"/>
        <v>2664.733207</v>
      </c>
      <c r="J157" s="64">
        <f>C157*'Rate Codes'!$D$7</f>
        <v>51.76455</v>
      </c>
      <c r="K157" s="25">
        <f>I157*'Rate Codes'!$D$8</f>
        <v>34.51628923</v>
      </c>
      <c r="L157" s="65">
        <f t="shared" si="103"/>
        <v>86.28083923</v>
      </c>
      <c r="M157" s="66">
        <f>I157*'Rate Codes'!$D$8</f>
        <v>34.51628923</v>
      </c>
      <c r="N157" s="67">
        <f t="shared" si="104"/>
        <v>-275.566107</v>
      </c>
      <c r="O157" s="25">
        <f t="shared" si="105"/>
        <v>120.7971285</v>
      </c>
      <c r="P157" s="81">
        <f t="shared" si="106"/>
        <v>-154.7689785</v>
      </c>
      <c r="Q157" s="25">
        <f t="shared" si="107"/>
        <v>6.039856423</v>
      </c>
      <c r="R157" s="81">
        <f t="shared" si="108"/>
        <v>-148.7291221</v>
      </c>
    </row>
    <row r="158">
      <c r="A158" s="12"/>
      <c r="B158" s="80" t="s">
        <v>125</v>
      </c>
      <c r="C158" s="87">
        <v>31.0</v>
      </c>
      <c r="D158" s="86">
        <v>0.5590291666666667</v>
      </c>
      <c r="E158" s="88">
        <v>0.06840443866</v>
      </c>
      <c r="F158" s="89">
        <f t="shared" si="100"/>
        <v>4250.160852</v>
      </c>
      <c r="G158" s="81">
        <v>5946.0</v>
      </c>
      <c r="H158" s="81">
        <f t="shared" si="101"/>
        <v>1695.839148</v>
      </c>
      <c r="I158" s="25">
        <f t="shared" si="102"/>
        <v>3533.240041</v>
      </c>
      <c r="J158" s="64">
        <f>C158*'Rate Codes'!$D$7</f>
        <v>53.490035</v>
      </c>
      <c r="K158" s="25">
        <f>I158*'Rate Codes'!$D$8</f>
        <v>45.76605825</v>
      </c>
      <c r="L158" s="65">
        <f t="shared" si="103"/>
        <v>99.25609325</v>
      </c>
      <c r="M158" s="66">
        <f>I158*'Rate Codes'!$D$8</f>
        <v>45.76605825</v>
      </c>
      <c r="N158" s="67">
        <f t="shared" si="104"/>
        <v>116.8433173</v>
      </c>
      <c r="O158" s="25">
        <f t="shared" si="105"/>
        <v>145.0221515</v>
      </c>
      <c r="P158" s="81">
        <f t="shared" si="106"/>
        <v>261.8654688</v>
      </c>
      <c r="Q158" s="25">
        <f t="shared" si="107"/>
        <v>13.09327344</v>
      </c>
      <c r="R158" s="81">
        <f t="shared" si="108"/>
        <v>274.9587423</v>
      </c>
    </row>
    <row r="159">
      <c r="A159" s="12"/>
      <c r="B159" s="80" t="s">
        <v>126</v>
      </c>
      <c r="C159" s="87">
        <v>30.0</v>
      </c>
      <c r="D159" s="86">
        <v>0.63125</v>
      </c>
      <c r="E159" s="88">
        <v>0.0271408052</v>
      </c>
      <c r="F159" s="89">
        <f t="shared" si="100"/>
        <v>1686.334835</v>
      </c>
      <c r="G159" s="81">
        <v>5587.0</v>
      </c>
      <c r="H159" s="81">
        <f t="shared" si="101"/>
        <v>3900.665165</v>
      </c>
      <c r="I159" s="25">
        <f t="shared" si="102"/>
        <v>3748.813488</v>
      </c>
      <c r="J159" s="64">
        <f>C159*'Rate Codes'!$D$7</f>
        <v>51.76455</v>
      </c>
      <c r="K159" s="25">
        <f>I159*'Rate Codes'!$D$8</f>
        <v>48.55838111</v>
      </c>
      <c r="L159" s="65">
        <f t="shared" si="103"/>
        <v>100.3229311</v>
      </c>
      <c r="M159" s="66">
        <f>I159*'Rate Codes'!$D$8</f>
        <v>48.55838111</v>
      </c>
      <c r="N159" s="67">
        <f t="shared" si="104"/>
        <v>268.7558299</v>
      </c>
      <c r="O159" s="25">
        <f t="shared" si="105"/>
        <v>148.8813122</v>
      </c>
      <c r="P159" s="81">
        <f t="shared" si="106"/>
        <v>417.6371421</v>
      </c>
      <c r="Q159" s="25">
        <f t="shared" si="107"/>
        <v>20.88185711</v>
      </c>
      <c r="R159" s="81">
        <f t="shared" si="108"/>
        <v>438.5189992</v>
      </c>
    </row>
    <row r="160">
      <c r="A160" s="12"/>
      <c r="B160" s="80" t="s">
        <v>127</v>
      </c>
      <c r="C160" s="87">
        <v>31.0</v>
      </c>
      <c r="D160" s="86">
        <v>0.6680541666666667</v>
      </c>
      <c r="E160" s="88">
        <v>0.01559005293</v>
      </c>
      <c r="F160" s="89">
        <f t="shared" si="100"/>
        <v>968.6539929</v>
      </c>
      <c r="G160" s="81">
        <v>5490.0</v>
      </c>
      <c r="H160" s="81">
        <f t="shared" si="101"/>
        <v>4521.346007</v>
      </c>
      <c r="I160" s="25">
        <f t="shared" si="102"/>
        <v>3898.502283</v>
      </c>
      <c r="J160" s="64">
        <f>C160*'Rate Codes'!$D$7</f>
        <v>53.490035</v>
      </c>
      <c r="K160" s="25">
        <f>I160*'Rate Codes'!$D$8</f>
        <v>50.49730007</v>
      </c>
      <c r="L160" s="65">
        <f t="shared" si="103"/>
        <v>103.9873351</v>
      </c>
      <c r="M160" s="66">
        <f>I160*'Rate Codes'!$D$8</f>
        <v>50.49730007</v>
      </c>
      <c r="N160" s="67">
        <f t="shared" si="104"/>
        <v>311.5207399</v>
      </c>
      <c r="O160" s="25">
        <f t="shared" si="105"/>
        <v>154.4846351</v>
      </c>
      <c r="P160" s="81">
        <f t="shared" si="106"/>
        <v>466.005375</v>
      </c>
      <c r="Q160" s="25">
        <f t="shared" si="107"/>
        <v>23.30026875</v>
      </c>
      <c r="R160" s="81">
        <f t="shared" si="108"/>
        <v>489.3056438</v>
      </c>
    </row>
    <row r="161">
      <c r="A161" s="12"/>
      <c r="B161" s="77" t="s">
        <v>109</v>
      </c>
      <c r="C161" s="82"/>
      <c r="D161" s="83"/>
      <c r="E161" s="83">
        <f t="shared" ref="E161:N161" si="109">SUM(E149:E160)</f>
        <v>1</v>
      </c>
      <c r="F161" s="84">
        <f t="shared" si="109"/>
        <v>62132.82259</v>
      </c>
      <c r="G161" s="85">
        <f t="shared" si="109"/>
        <v>66307</v>
      </c>
      <c r="H161" s="85">
        <f t="shared" si="109"/>
        <v>4174.177406</v>
      </c>
      <c r="I161" s="48">
        <f t="shared" si="109"/>
        <v>34573.94139</v>
      </c>
      <c r="J161" s="85">
        <f t="shared" si="109"/>
        <v>629.802025</v>
      </c>
      <c r="K161" s="85">
        <f t="shared" si="109"/>
        <v>447.8362629</v>
      </c>
      <c r="L161" s="85">
        <f t="shared" si="109"/>
        <v>1077.638288</v>
      </c>
      <c r="M161" s="85">
        <f t="shared" si="109"/>
        <v>447.8362629</v>
      </c>
      <c r="N161" s="85">
        <f t="shared" si="109"/>
        <v>-2944.986893</v>
      </c>
      <c r="O161" s="48">
        <f t="shared" si="105"/>
        <v>1525.474551</v>
      </c>
      <c r="P161" s="85">
        <f t="shared" ref="P161:R161" si="110">SUM(P149:P160)</f>
        <v>-1419.512342</v>
      </c>
      <c r="Q161" s="85">
        <f t="shared" si="110"/>
        <v>133.305108</v>
      </c>
      <c r="R161" s="85">
        <f t="shared" si="110"/>
        <v>-1286.207234</v>
      </c>
    </row>
    <row r="163">
      <c r="A163" s="76">
        <v>10.0</v>
      </c>
      <c r="B163" s="12" t="s">
        <v>128</v>
      </c>
      <c r="C163" s="12"/>
      <c r="D163" s="15"/>
      <c r="E163" s="15">
        <f>$E$1* POWER((1 -$H$1),A163)</f>
        <v>61822.15848</v>
      </c>
      <c r="F163" s="1" t="s">
        <v>132</v>
      </c>
      <c r="G163" s="8">
        <f>E163/G177</f>
        <v>0.9323624727</v>
      </c>
      <c r="H163" s="1" t="s">
        <v>133</v>
      </c>
      <c r="I163" s="6">
        <f>1-G163</f>
        <v>0.06763752726</v>
      </c>
      <c r="J163" s="12" t="s">
        <v>74</v>
      </c>
      <c r="M163" s="12" t="s">
        <v>78</v>
      </c>
      <c r="N163" s="12"/>
      <c r="O163" s="12"/>
      <c r="P163" s="12"/>
      <c r="Q163" s="12"/>
      <c r="R163" s="12"/>
    </row>
    <row r="164">
      <c r="A164" s="12"/>
      <c r="B164" s="77" t="s">
        <v>83</v>
      </c>
      <c r="C164" s="78" t="s">
        <v>88</v>
      </c>
      <c r="D164" s="44" t="s">
        <v>87</v>
      </c>
      <c r="E164" s="77" t="s">
        <v>140</v>
      </c>
      <c r="F164" s="77" t="s">
        <v>135</v>
      </c>
      <c r="G164" s="78" t="s">
        <v>89</v>
      </c>
      <c r="H164" s="78" t="s">
        <v>138</v>
      </c>
      <c r="I164" s="20" t="s">
        <v>139</v>
      </c>
      <c r="J164" s="78" t="s">
        <v>76</v>
      </c>
      <c r="K164" s="78" t="s">
        <v>82</v>
      </c>
      <c r="L164" s="78" t="s">
        <v>109</v>
      </c>
      <c r="M164" s="78" t="s">
        <v>80</v>
      </c>
      <c r="N164" s="78" t="s">
        <v>67</v>
      </c>
      <c r="O164" s="45" t="s">
        <v>114</v>
      </c>
      <c r="P164" s="79" t="s">
        <v>115</v>
      </c>
      <c r="Q164" s="79" t="s">
        <v>60</v>
      </c>
      <c r="R164" s="79" t="s">
        <v>109</v>
      </c>
    </row>
    <row r="165">
      <c r="A165" s="12"/>
      <c r="B165" s="80" t="s">
        <v>117</v>
      </c>
      <c r="C165" s="87">
        <v>31.0</v>
      </c>
      <c r="D165" s="86">
        <v>0.6479166666666667</v>
      </c>
      <c r="E165" s="88">
        <v>0.02731296772</v>
      </c>
      <c r="F165" s="89">
        <f t="shared" ref="F165:F176" si="111">$E$163*E165</f>
        <v>1688.546619</v>
      </c>
      <c r="G165" s="81">
        <v>5726.0</v>
      </c>
      <c r="H165" s="81">
        <f t="shared" ref="H165:H176" si="112">G165-F165</f>
        <v>4037.453381</v>
      </c>
      <c r="I165" s="25">
        <f t="shared" ref="I165:I176" si="113">D165*G165*(1+$I$163)</f>
        <v>3960.904087</v>
      </c>
      <c r="J165" s="64">
        <f>C165*'Rate Codes'!$D$7</f>
        <v>53.490035</v>
      </c>
      <c r="K165" s="25">
        <f>I165*'Rate Codes'!$D$8</f>
        <v>51.30559063</v>
      </c>
      <c r="L165" s="65">
        <f t="shared" ref="L165:L176" si="114">SUM(J165:K165)</f>
        <v>104.7956256</v>
      </c>
      <c r="M165" s="66">
        <f>I165*'Rate Codes'!$D$8</f>
        <v>51.30559063</v>
      </c>
      <c r="N165" s="67">
        <f t="shared" ref="N165:N176" si="115">H165*IF(D165&gt;51%,0.0689,0.33)</f>
        <v>278.180538</v>
      </c>
      <c r="O165" s="25">
        <f t="shared" ref="O165:O177" si="116">L165+M165</f>
        <v>156.1012163</v>
      </c>
      <c r="P165" s="81">
        <f t="shared" ref="P165:P176" si="117">N165+L165+M165</f>
        <v>434.2817542</v>
      </c>
      <c r="Q165" s="25">
        <f t="shared" ref="Q165:Q176" si="118">(IF(N165&gt;0,N165,0)+O165)*0.05</f>
        <v>21.71408771</v>
      </c>
      <c r="R165" s="81">
        <f t="shared" ref="R165:R176" si="119">P165+Q165</f>
        <v>455.9958419</v>
      </c>
    </row>
    <row r="166">
      <c r="A166" s="12"/>
      <c r="B166" s="80" t="s">
        <v>118</v>
      </c>
      <c r="C166" s="87">
        <v>28.0</v>
      </c>
      <c r="D166" s="86">
        <v>0.5868041666666667</v>
      </c>
      <c r="E166" s="88">
        <v>0.04620731865</v>
      </c>
      <c r="F166" s="89">
        <f t="shared" si="111"/>
        <v>2856.636177</v>
      </c>
      <c r="G166" s="81">
        <v>5279.0</v>
      </c>
      <c r="H166" s="81">
        <f t="shared" si="112"/>
        <v>2422.363823</v>
      </c>
      <c r="I166" s="25">
        <f t="shared" si="113"/>
        <v>3307.262615</v>
      </c>
      <c r="J166" s="64">
        <f>C166*'Rate Codes'!$D$7</f>
        <v>48.31358</v>
      </c>
      <c r="K166" s="25">
        <f>I166*'Rate Codes'!$D$8</f>
        <v>42.83897265</v>
      </c>
      <c r="L166" s="65">
        <f t="shared" si="114"/>
        <v>91.15255265</v>
      </c>
      <c r="M166" s="66">
        <f>I166*'Rate Codes'!$D$8</f>
        <v>42.83897265</v>
      </c>
      <c r="N166" s="67">
        <f t="shared" si="115"/>
        <v>166.9008674</v>
      </c>
      <c r="O166" s="25">
        <f t="shared" si="116"/>
        <v>133.9915253</v>
      </c>
      <c r="P166" s="81">
        <f t="shared" si="117"/>
        <v>300.8923927</v>
      </c>
      <c r="Q166" s="25">
        <f t="shared" si="118"/>
        <v>15.04461964</v>
      </c>
      <c r="R166" s="81">
        <f t="shared" si="119"/>
        <v>315.9370124</v>
      </c>
    </row>
    <row r="167">
      <c r="A167" s="12"/>
      <c r="B167" s="80" t="s">
        <v>119</v>
      </c>
      <c r="C167" s="87">
        <v>31.0</v>
      </c>
      <c r="D167" s="86">
        <v>0.5083333333333333</v>
      </c>
      <c r="E167" s="88">
        <v>0.08500831624</v>
      </c>
      <c r="F167" s="89">
        <f t="shared" si="111"/>
        <v>5255.397599</v>
      </c>
      <c r="G167" s="81">
        <v>4991.0</v>
      </c>
      <c r="H167" s="81">
        <f t="shared" si="112"/>
        <v>-264.3975987</v>
      </c>
      <c r="I167" s="25">
        <f t="shared" si="113"/>
        <v>2708.694273</v>
      </c>
      <c r="J167" s="64">
        <f>C167*'Rate Codes'!$D$7</f>
        <v>53.490035</v>
      </c>
      <c r="K167" s="25">
        <f>I167*'Rate Codes'!$D$8</f>
        <v>35.08571692</v>
      </c>
      <c r="L167" s="65">
        <f t="shared" si="114"/>
        <v>88.57575192</v>
      </c>
      <c r="M167" s="66">
        <f>I167*'Rate Codes'!$D$8</f>
        <v>35.08571692</v>
      </c>
      <c r="N167" s="67">
        <f t="shared" si="115"/>
        <v>-87.25120758</v>
      </c>
      <c r="O167" s="25">
        <f t="shared" si="116"/>
        <v>123.6614688</v>
      </c>
      <c r="P167" s="81">
        <f t="shared" si="117"/>
        <v>36.41026127</v>
      </c>
      <c r="Q167" s="25">
        <f t="shared" si="118"/>
        <v>6.183073442</v>
      </c>
      <c r="R167" s="81">
        <f t="shared" si="119"/>
        <v>42.59333471</v>
      </c>
    </row>
    <row r="168">
      <c r="A168" s="12"/>
      <c r="B168" s="80" t="s">
        <v>120</v>
      </c>
      <c r="C168" s="87">
        <v>30.0</v>
      </c>
      <c r="D168" s="86">
        <v>0.425</v>
      </c>
      <c r="E168" s="88">
        <v>0.108773175</v>
      </c>
      <c r="F168" s="89">
        <f t="shared" si="111"/>
        <v>6724.592463</v>
      </c>
      <c r="G168" s="81">
        <v>4952.0</v>
      </c>
      <c r="H168" s="81">
        <f t="shared" si="112"/>
        <v>-1772.592463</v>
      </c>
      <c r="I168" s="25">
        <f t="shared" si="113"/>
        <v>2246.94994</v>
      </c>
      <c r="J168" s="64">
        <f>C168*'Rate Codes'!$D$7</f>
        <v>51.76455</v>
      </c>
      <c r="K168" s="25">
        <f>I168*'Rate Codes'!$D$8</f>
        <v>29.10474257</v>
      </c>
      <c r="L168" s="65">
        <f t="shared" si="114"/>
        <v>80.86929257</v>
      </c>
      <c r="M168" s="66">
        <f>I168*'Rate Codes'!$D$8</f>
        <v>29.10474257</v>
      </c>
      <c r="N168" s="67">
        <f t="shared" si="115"/>
        <v>-584.9555129</v>
      </c>
      <c r="O168" s="25">
        <f t="shared" si="116"/>
        <v>109.9740351</v>
      </c>
      <c r="P168" s="81">
        <f t="shared" si="117"/>
        <v>-474.9814777</v>
      </c>
      <c r="Q168" s="25">
        <f t="shared" si="118"/>
        <v>5.498701757</v>
      </c>
      <c r="R168" s="81">
        <f t="shared" si="119"/>
        <v>-469.482776</v>
      </c>
    </row>
    <row r="169">
      <c r="A169" s="12"/>
      <c r="B169" s="80" t="s">
        <v>98</v>
      </c>
      <c r="C169" s="87">
        <v>31.0</v>
      </c>
      <c r="D169" s="86">
        <v>0.35277916666666664</v>
      </c>
      <c r="E169" s="88">
        <v>0.1281742617</v>
      </c>
      <c r="F169" s="89">
        <f t="shared" si="111"/>
        <v>7924.00952</v>
      </c>
      <c r="G169" s="81">
        <v>5559.0</v>
      </c>
      <c r="H169" s="81">
        <f t="shared" si="112"/>
        <v>-2365.00952</v>
      </c>
      <c r="I169" s="25">
        <f t="shared" si="113"/>
        <v>2093.743301</v>
      </c>
      <c r="J169" s="64">
        <f>C169*'Rate Codes'!$D$7</f>
        <v>53.490035</v>
      </c>
      <c r="K169" s="25">
        <f>I169*'Rate Codes'!$D$8</f>
        <v>27.12025697</v>
      </c>
      <c r="L169" s="65">
        <f t="shared" si="114"/>
        <v>80.61029197</v>
      </c>
      <c r="M169" s="66">
        <f>I169*'Rate Codes'!$D$8</f>
        <v>27.12025697</v>
      </c>
      <c r="N169" s="67">
        <f t="shared" si="115"/>
        <v>-780.4531416</v>
      </c>
      <c r="O169" s="25">
        <f t="shared" si="116"/>
        <v>107.7305489</v>
      </c>
      <c r="P169" s="81">
        <f t="shared" si="117"/>
        <v>-672.7225926</v>
      </c>
      <c r="Q169" s="25">
        <f t="shared" si="118"/>
        <v>5.386527447</v>
      </c>
      <c r="R169" s="81">
        <f t="shared" si="119"/>
        <v>-667.3360652</v>
      </c>
    </row>
    <row r="170">
      <c r="A170" s="12"/>
      <c r="B170" s="80" t="s">
        <v>121</v>
      </c>
      <c r="C170" s="87">
        <v>30.0</v>
      </c>
      <c r="D170" s="86">
        <v>0.31388750000000004</v>
      </c>
      <c r="E170" s="88">
        <v>0.1254860808</v>
      </c>
      <c r="F170" s="89">
        <f t="shared" si="111"/>
        <v>7757.820374</v>
      </c>
      <c r="G170" s="81">
        <v>4964.0</v>
      </c>
      <c r="H170" s="81">
        <f t="shared" si="112"/>
        <v>-2793.820374</v>
      </c>
      <c r="I170" s="25">
        <f t="shared" si="113"/>
        <v>1663.526121</v>
      </c>
      <c r="J170" s="64">
        <f>C170*'Rate Codes'!$D$7</f>
        <v>51.76455</v>
      </c>
      <c r="K170" s="25">
        <f>I170*'Rate Codes'!$D$8</f>
        <v>21.54765385</v>
      </c>
      <c r="L170" s="65">
        <f t="shared" si="114"/>
        <v>73.31220385</v>
      </c>
      <c r="M170" s="66">
        <f>I170*'Rate Codes'!$D$8</f>
        <v>21.54765385</v>
      </c>
      <c r="N170" s="67">
        <f t="shared" si="115"/>
        <v>-921.9607235</v>
      </c>
      <c r="O170" s="25">
        <f t="shared" si="116"/>
        <v>94.85985769</v>
      </c>
      <c r="P170" s="81">
        <f t="shared" si="117"/>
        <v>-827.1008658</v>
      </c>
      <c r="Q170" s="25">
        <f t="shared" si="118"/>
        <v>4.742992885</v>
      </c>
      <c r="R170" s="81">
        <f t="shared" si="119"/>
        <v>-822.3578729</v>
      </c>
    </row>
    <row r="171">
      <c r="A171" s="12"/>
      <c r="B171" s="80" t="s">
        <v>122</v>
      </c>
      <c r="C171" s="87">
        <v>31.0</v>
      </c>
      <c r="D171" s="86">
        <v>0.33125</v>
      </c>
      <c r="E171" s="88">
        <v>0.1449493112</v>
      </c>
      <c r="F171" s="89">
        <f t="shared" si="111"/>
        <v>8961.079289</v>
      </c>
      <c r="G171" s="81">
        <v>6634.0</v>
      </c>
      <c r="H171" s="81">
        <f t="shared" si="112"/>
        <v>-2327.079289</v>
      </c>
      <c r="I171" s="25">
        <f t="shared" si="113"/>
        <v>2346.146812</v>
      </c>
      <c r="J171" s="64">
        <f>C171*'Rate Codes'!$D$7</f>
        <v>53.490035</v>
      </c>
      <c r="K171" s="25">
        <f>I171*'Rate Codes'!$D$8</f>
        <v>30.38963965</v>
      </c>
      <c r="L171" s="65">
        <f t="shared" si="114"/>
        <v>83.87967465</v>
      </c>
      <c r="M171" s="66">
        <f>I171*'Rate Codes'!$D$8</f>
        <v>30.38963965</v>
      </c>
      <c r="N171" s="67">
        <f t="shared" si="115"/>
        <v>-767.9361652</v>
      </c>
      <c r="O171" s="25">
        <f t="shared" si="116"/>
        <v>114.2693143</v>
      </c>
      <c r="P171" s="81">
        <f t="shared" si="117"/>
        <v>-653.6668509</v>
      </c>
      <c r="Q171" s="25">
        <f t="shared" si="118"/>
        <v>5.713465715</v>
      </c>
      <c r="R171" s="81">
        <f t="shared" si="119"/>
        <v>-647.9533852</v>
      </c>
    </row>
    <row r="172">
      <c r="A172" s="12"/>
      <c r="B172" s="80" t="s">
        <v>123</v>
      </c>
      <c r="C172" s="87">
        <v>31.0</v>
      </c>
      <c r="D172" s="86">
        <v>0.3951375</v>
      </c>
      <c r="E172" s="88">
        <v>0.1246952409</v>
      </c>
      <c r="F172" s="89">
        <f t="shared" si="111"/>
        <v>7708.928945</v>
      </c>
      <c r="G172" s="81">
        <v>5909.0</v>
      </c>
      <c r="H172" s="81">
        <f t="shared" si="112"/>
        <v>-1799.928945</v>
      </c>
      <c r="I172" s="25">
        <f t="shared" si="113"/>
        <v>2492.792151</v>
      </c>
      <c r="J172" s="64">
        <f>C172*'Rate Codes'!$D$7</f>
        <v>53.490035</v>
      </c>
      <c r="K172" s="25">
        <f>I172*'Rate Codes'!$D$8</f>
        <v>32.28913673</v>
      </c>
      <c r="L172" s="65">
        <f t="shared" si="114"/>
        <v>85.77917173</v>
      </c>
      <c r="M172" s="66">
        <f>I172*'Rate Codes'!$D$8</f>
        <v>32.28913673</v>
      </c>
      <c r="N172" s="67">
        <f t="shared" si="115"/>
        <v>-593.9765517</v>
      </c>
      <c r="O172" s="25">
        <f t="shared" si="116"/>
        <v>118.0683085</v>
      </c>
      <c r="P172" s="81">
        <f t="shared" si="117"/>
        <v>-475.9082433</v>
      </c>
      <c r="Q172" s="25">
        <f t="shared" si="118"/>
        <v>5.903415423</v>
      </c>
      <c r="R172" s="81">
        <f t="shared" si="119"/>
        <v>-470.0048279</v>
      </c>
    </row>
    <row r="173">
      <c r="A173" s="12"/>
      <c r="B173" s="80" t="s">
        <v>124</v>
      </c>
      <c r="C173" s="87">
        <v>30.0</v>
      </c>
      <c r="D173" s="86">
        <v>0.4756958333333334</v>
      </c>
      <c r="E173" s="88">
        <v>0.09825803101</v>
      </c>
      <c r="F173" s="89">
        <f t="shared" si="111"/>
        <v>6074.523565</v>
      </c>
      <c r="G173" s="81">
        <v>5270.0</v>
      </c>
      <c r="H173" s="81">
        <f t="shared" si="112"/>
        <v>-804.5235651</v>
      </c>
      <c r="I173" s="25">
        <f t="shared" si="113"/>
        <v>2676.478711</v>
      </c>
      <c r="J173" s="64">
        <f>C173*'Rate Codes'!$D$7</f>
        <v>51.76455</v>
      </c>
      <c r="K173" s="25">
        <f>I173*'Rate Codes'!$D$8</f>
        <v>34.66842875</v>
      </c>
      <c r="L173" s="65">
        <f t="shared" si="114"/>
        <v>86.43297875</v>
      </c>
      <c r="M173" s="66">
        <f>I173*'Rate Codes'!$D$8</f>
        <v>34.66842875</v>
      </c>
      <c r="N173" s="67">
        <f t="shared" si="115"/>
        <v>-265.4927765</v>
      </c>
      <c r="O173" s="25">
        <f t="shared" si="116"/>
        <v>121.1014075</v>
      </c>
      <c r="P173" s="81">
        <f t="shared" si="117"/>
        <v>-144.391369</v>
      </c>
      <c r="Q173" s="25">
        <f t="shared" si="118"/>
        <v>6.055070375</v>
      </c>
      <c r="R173" s="81">
        <f t="shared" si="119"/>
        <v>-138.3362986</v>
      </c>
    </row>
    <row r="174">
      <c r="A174" s="12"/>
      <c r="B174" s="80" t="s">
        <v>125</v>
      </c>
      <c r="C174" s="87">
        <v>31.0</v>
      </c>
      <c r="D174" s="86">
        <v>0.5590291666666667</v>
      </c>
      <c r="E174" s="88">
        <v>0.06840443866</v>
      </c>
      <c r="F174" s="89">
        <f t="shared" si="111"/>
        <v>4228.910048</v>
      </c>
      <c r="G174" s="81">
        <v>5946.0</v>
      </c>
      <c r="H174" s="81">
        <f t="shared" si="112"/>
        <v>1717.089952</v>
      </c>
      <c r="I174" s="25">
        <f t="shared" si="113"/>
        <v>3548.813715</v>
      </c>
      <c r="J174" s="64">
        <f>C174*'Rate Codes'!$D$7</f>
        <v>53.490035</v>
      </c>
      <c r="K174" s="25">
        <f>I174*'Rate Codes'!$D$8</f>
        <v>45.96778405</v>
      </c>
      <c r="L174" s="65">
        <f t="shared" si="114"/>
        <v>99.45781905</v>
      </c>
      <c r="M174" s="66">
        <f>I174*'Rate Codes'!$D$8</f>
        <v>45.96778405</v>
      </c>
      <c r="N174" s="67">
        <f t="shared" si="115"/>
        <v>118.3074977</v>
      </c>
      <c r="O174" s="25">
        <f t="shared" si="116"/>
        <v>145.4256031</v>
      </c>
      <c r="P174" s="81">
        <f t="shared" si="117"/>
        <v>263.7331008</v>
      </c>
      <c r="Q174" s="25">
        <f t="shared" si="118"/>
        <v>13.18665504</v>
      </c>
      <c r="R174" s="81">
        <f t="shared" si="119"/>
        <v>276.9197559</v>
      </c>
    </row>
    <row r="175">
      <c r="A175" s="12"/>
      <c r="B175" s="80" t="s">
        <v>126</v>
      </c>
      <c r="C175" s="87">
        <v>30.0</v>
      </c>
      <c r="D175" s="86">
        <v>0.63125</v>
      </c>
      <c r="E175" s="88">
        <v>0.0271408052</v>
      </c>
      <c r="F175" s="89">
        <f t="shared" si="111"/>
        <v>1677.90316</v>
      </c>
      <c r="G175" s="81">
        <v>5587.0</v>
      </c>
      <c r="H175" s="81">
        <f t="shared" si="112"/>
        <v>3909.09684</v>
      </c>
      <c r="I175" s="25">
        <f t="shared" si="113"/>
        <v>3765.337358</v>
      </c>
      <c r="J175" s="64">
        <f>C175*'Rate Codes'!$D$7</f>
        <v>51.76455</v>
      </c>
      <c r="K175" s="25">
        <f>I175*'Rate Codes'!$D$8</f>
        <v>48.7724148</v>
      </c>
      <c r="L175" s="65">
        <f t="shared" si="114"/>
        <v>100.5369648</v>
      </c>
      <c r="M175" s="66">
        <f>I175*'Rate Codes'!$D$8</f>
        <v>48.7724148</v>
      </c>
      <c r="N175" s="67">
        <f t="shared" si="115"/>
        <v>269.3367723</v>
      </c>
      <c r="O175" s="25">
        <f t="shared" si="116"/>
        <v>149.3093796</v>
      </c>
      <c r="P175" s="81">
        <f t="shared" si="117"/>
        <v>418.6461519</v>
      </c>
      <c r="Q175" s="25">
        <f t="shared" si="118"/>
        <v>20.93230759</v>
      </c>
      <c r="R175" s="81">
        <f t="shared" si="119"/>
        <v>439.5784595</v>
      </c>
    </row>
    <row r="176">
      <c r="A176" s="12"/>
      <c r="B176" s="80" t="s">
        <v>127</v>
      </c>
      <c r="C176" s="87">
        <v>31.0</v>
      </c>
      <c r="D176" s="86">
        <v>0.6680541666666667</v>
      </c>
      <c r="E176" s="88">
        <v>0.01559005293</v>
      </c>
      <c r="F176" s="89">
        <f t="shared" si="111"/>
        <v>963.810723</v>
      </c>
      <c r="G176" s="81">
        <v>5490.0</v>
      </c>
      <c r="H176" s="81">
        <f t="shared" si="112"/>
        <v>4526.189277</v>
      </c>
      <c r="I176" s="25">
        <f t="shared" si="113"/>
        <v>3915.685945</v>
      </c>
      <c r="J176" s="64">
        <f>C176*'Rate Codes'!$D$7</f>
        <v>53.490035</v>
      </c>
      <c r="K176" s="25">
        <f>I176*'Rate Codes'!$D$8</f>
        <v>50.71988005</v>
      </c>
      <c r="L176" s="65">
        <f t="shared" si="114"/>
        <v>104.209915</v>
      </c>
      <c r="M176" s="66">
        <f>I176*'Rate Codes'!$D$8</f>
        <v>50.71988005</v>
      </c>
      <c r="N176" s="67">
        <f t="shared" si="115"/>
        <v>311.8544412</v>
      </c>
      <c r="O176" s="25">
        <f t="shared" si="116"/>
        <v>154.9297951</v>
      </c>
      <c r="P176" s="81">
        <f t="shared" si="117"/>
        <v>466.7842363</v>
      </c>
      <c r="Q176" s="25">
        <f t="shared" si="118"/>
        <v>23.33921181</v>
      </c>
      <c r="R176" s="81">
        <f t="shared" si="119"/>
        <v>490.1234481</v>
      </c>
    </row>
    <row r="177">
      <c r="A177" s="12"/>
      <c r="B177" s="77" t="s">
        <v>109</v>
      </c>
      <c r="C177" s="82"/>
      <c r="D177" s="83"/>
      <c r="E177" s="83">
        <f t="shared" ref="E177:N177" si="120">SUM(E165:E176)</f>
        <v>1</v>
      </c>
      <c r="F177" s="84">
        <f t="shared" si="120"/>
        <v>61822.15848</v>
      </c>
      <c r="G177" s="85">
        <f t="shared" si="120"/>
        <v>66307</v>
      </c>
      <c r="H177" s="85">
        <f t="shared" si="120"/>
        <v>4484.841519</v>
      </c>
      <c r="I177" s="48">
        <f t="shared" si="120"/>
        <v>34726.33503</v>
      </c>
      <c r="J177" s="85">
        <f t="shared" si="120"/>
        <v>629.802025</v>
      </c>
      <c r="K177" s="85">
        <f t="shared" si="120"/>
        <v>449.8102176</v>
      </c>
      <c r="L177" s="85">
        <f t="shared" si="120"/>
        <v>1079.612243</v>
      </c>
      <c r="M177" s="85">
        <f t="shared" si="120"/>
        <v>449.8102176</v>
      </c>
      <c r="N177" s="85">
        <f t="shared" si="120"/>
        <v>-2857.445962</v>
      </c>
      <c r="O177" s="48">
        <f t="shared" si="116"/>
        <v>1529.42246</v>
      </c>
      <c r="P177" s="85">
        <f t="shared" ref="P177:R177" si="121">SUM(P165:P176)</f>
        <v>-1328.023502</v>
      </c>
      <c r="Q177" s="85">
        <f t="shared" si="121"/>
        <v>133.7001288</v>
      </c>
      <c r="R177" s="85">
        <f t="shared" si="121"/>
        <v>-1194.323373</v>
      </c>
    </row>
    <row r="179">
      <c r="A179" s="76">
        <v>11.0</v>
      </c>
      <c r="B179" s="12" t="s">
        <v>128</v>
      </c>
      <c r="C179" s="12"/>
      <c r="D179" s="15"/>
      <c r="E179" s="15">
        <f>$E$1* POWER((1 -$H$1),A179)</f>
        <v>61513.04769</v>
      </c>
      <c r="F179" s="1" t="s">
        <v>132</v>
      </c>
      <c r="G179" s="8">
        <f>E179/G193</f>
        <v>0.9277006604</v>
      </c>
      <c r="H179" s="1" t="s">
        <v>133</v>
      </c>
      <c r="I179" s="6">
        <f>1-G179</f>
        <v>0.07229933962</v>
      </c>
      <c r="J179" s="12" t="s">
        <v>74</v>
      </c>
      <c r="M179" s="12" t="s">
        <v>78</v>
      </c>
      <c r="N179" s="12"/>
      <c r="O179" s="12"/>
      <c r="P179" s="12"/>
      <c r="Q179" s="12"/>
      <c r="R179" s="12"/>
    </row>
    <row r="180">
      <c r="A180" s="12"/>
      <c r="B180" s="77" t="s">
        <v>83</v>
      </c>
      <c r="C180" s="78" t="s">
        <v>88</v>
      </c>
      <c r="D180" s="44" t="s">
        <v>87</v>
      </c>
      <c r="E180" s="77" t="s">
        <v>140</v>
      </c>
      <c r="F180" s="77" t="s">
        <v>135</v>
      </c>
      <c r="G180" s="78" t="s">
        <v>89</v>
      </c>
      <c r="H180" s="78" t="s">
        <v>138</v>
      </c>
      <c r="I180" s="20" t="s">
        <v>139</v>
      </c>
      <c r="J180" s="78" t="s">
        <v>76</v>
      </c>
      <c r="K180" s="78" t="s">
        <v>82</v>
      </c>
      <c r="L180" s="78" t="s">
        <v>109</v>
      </c>
      <c r="M180" s="78" t="s">
        <v>80</v>
      </c>
      <c r="N180" s="78" t="s">
        <v>67</v>
      </c>
      <c r="O180" s="45" t="s">
        <v>114</v>
      </c>
      <c r="P180" s="79" t="s">
        <v>115</v>
      </c>
      <c r="Q180" s="79" t="s">
        <v>60</v>
      </c>
      <c r="R180" s="79" t="s">
        <v>109</v>
      </c>
    </row>
    <row r="181">
      <c r="A181" s="12"/>
      <c r="B181" s="80" t="s">
        <v>117</v>
      </c>
      <c r="C181" s="87">
        <v>31.0</v>
      </c>
      <c r="D181" s="86">
        <v>0.6479166666666667</v>
      </c>
      <c r="E181" s="88">
        <v>0.02731296772</v>
      </c>
      <c r="F181" s="89">
        <f t="shared" ref="F181:F192" si="122">$E$179*E181</f>
        <v>1680.103886</v>
      </c>
      <c r="G181" s="81">
        <v>5726.0</v>
      </c>
      <c r="H181" s="81">
        <f t="shared" ref="H181:H192" si="123">G181-F181</f>
        <v>4045.896114</v>
      </c>
      <c r="I181" s="25">
        <f>D181*G181*(1+$I$179)</f>
        <v>3978.199275</v>
      </c>
      <c r="J181" s="64">
        <f>C181*'Rate Codes'!$D$7</f>
        <v>53.490035</v>
      </c>
      <c r="K181" s="25">
        <f>I181*'Rate Codes'!$D$8</f>
        <v>51.5296152</v>
      </c>
      <c r="L181" s="65">
        <f t="shared" ref="L181:L192" si="124">SUM(J181:K181)</f>
        <v>105.0196502</v>
      </c>
      <c r="M181" s="66">
        <f>I181*'Rate Codes'!$D$8</f>
        <v>51.5296152</v>
      </c>
      <c r="N181" s="67">
        <f t="shared" ref="N181:N192" si="125">H181*IF(D181&gt;51%,0.0689,0.33)</f>
        <v>278.7622423</v>
      </c>
      <c r="O181" s="25">
        <f t="shared" ref="O181:O193" si="126">L181+M181</f>
        <v>156.5492654</v>
      </c>
      <c r="P181" s="81">
        <f t="shared" ref="P181:P192" si="127">N181+L181+M181</f>
        <v>435.3115077</v>
      </c>
      <c r="Q181" s="25">
        <f t="shared" ref="Q181:Q192" si="128">(IF(N181&gt;0,N181,0)+O181)*0.05</f>
        <v>21.76557538</v>
      </c>
      <c r="R181" s="81">
        <f t="shared" ref="R181:R192" si="129">P181+Q181</f>
        <v>457.0770831</v>
      </c>
    </row>
    <row r="182">
      <c r="A182" s="12"/>
      <c r="B182" s="80" t="s">
        <v>118</v>
      </c>
      <c r="C182" s="87">
        <v>28.0</v>
      </c>
      <c r="D182" s="86">
        <v>0.5868041666666667</v>
      </c>
      <c r="E182" s="88">
        <v>0.04620731865</v>
      </c>
      <c r="F182" s="89">
        <f t="shared" si="122"/>
        <v>2842.352996</v>
      </c>
      <c r="G182" s="81">
        <v>5279.0</v>
      </c>
      <c r="H182" s="81">
        <f t="shared" si="123"/>
        <v>2436.647004</v>
      </c>
      <c r="I182" s="25">
        <f t="shared" ref="I182:I192" si="130">D182*G182</f>
        <v>3097.739196</v>
      </c>
      <c r="J182" s="64">
        <f>C182*'Rate Codes'!$D$7</f>
        <v>48.31358</v>
      </c>
      <c r="K182" s="25">
        <f>I182*'Rate Codes'!$D$8</f>
        <v>40.1250158</v>
      </c>
      <c r="L182" s="65">
        <f t="shared" si="124"/>
        <v>88.4385958</v>
      </c>
      <c r="M182" s="66">
        <f>I182*'Rate Codes'!$D$8</f>
        <v>40.1250158</v>
      </c>
      <c r="N182" s="67">
        <f t="shared" si="125"/>
        <v>167.8849786</v>
      </c>
      <c r="O182" s="25">
        <f t="shared" si="126"/>
        <v>128.5636116</v>
      </c>
      <c r="P182" s="81">
        <f t="shared" si="127"/>
        <v>296.4485902</v>
      </c>
      <c r="Q182" s="25">
        <f t="shared" si="128"/>
        <v>14.82242951</v>
      </c>
      <c r="R182" s="81">
        <f t="shared" si="129"/>
        <v>311.2710197</v>
      </c>
    </row>
    <row r="183">
      <c r="A183" s="12"/>
      <c r="B183" s="80" t="s">
        <v>119</v>
      </c>
      <c r="C183" s="87">
        <v>31.0</v>
      </c>
      <c r="D183" s="86">
        <v>0.5083333333333333</v>
      </c>
      <c r="E183" s="88">
        <v>0.08500831624</v>
      </c>
      <c r="F183" s="89">
        <f t="shared" si="122"/>
        <v>5229.120611</v>
      </c>
      <c r="G183" s="81">
        <v>4991.0</v>
      </c>
      <c r="H183" s="81">
        <f t="shared" si="123"/>
        <v>-238.1206107</v>
      </c>
      <c r="I183" s="25">
        <f t="shared" si="130"/>
        <v>2537.091667</v>
      </c>
      <c r="J183" s="64">
        <f>C183*'Rate Codes'!$D$7</f>
        <v>53.490035</v>
      </c>
      <c r="K183" s="25">
        <f>I183*'Rate Codes'!$D$8</f>
        <v>32.86294836</v>
      </c>
      <c r="L183" s="65">
        <f t="shared" si="124"/>
        <v>86.35298336</v>
      </c>
      <c r="M183" s="66">
        <f>I183*'Rate Codes'!$D$8</f>
        <v>32.86294836</v>
      </c>
      <c r="N183" s="67">
        <f t="shared" si="125"/>
        <v>-78.57980154</v>
      </c>
      <c r="O183" s="25">
        <f t="shared" si="126"/>
        <v>119.2159317</v>
      </c>
      <c r="P183" s="81">
        <f t="shared" si="127"/>
        <v>40.63613017</v>
      </c>
      <c r="Q183" s="25">
        <f t="shared" si="128"/>
        <v>5.960796586</v>
      </c>
      <c r="R183" s="81">
        <f t="shared" si="129"/>
        <v>46.59692676</v>
      </c>
    </row>
    <row r="184">
      <c r="A184" s="12"/>
      <c r="B184" s="80" t="s">
        <v>120</v>
      </c>
      <c r="C184" s="87">
        <v>30.0</v>
      </c>
      <c r="D184" s="86">
        <v>0.425</v>
      </c>
      <c r="E184" s="88">
        <v>0.108773175</v>
      </c>
      <c r="F184" s="89">
        <f t="shared" si="122"/>
        <v>6690.969501</v>
      </c>
      <c r="G184" s="81">
        <v>4952.0</v>
      </c>
      <c r="H184" s="81">
        <f t="shared" si="123"/>
        <v>-1738.969501</v>
      </c>
      <c r="I184" s="25">
        <f t="shared" si="130"/>
        <v>2104.6</v>
      </c>
      <c r="J184" s="64">
        <f>C184*'Rate Codes'!$D$7</f>
        <v>51.76455</v>
      </c>
      <c r="K184" s="25">
        <f>I184*'Rate Codes'!$D$8</f>
        <v>27.2608838</v>
      </c>
      <c r="L184" s="65">
        <f t="shared" si="124"/>
        <v>79.0254338</v>
      </c>
      <c r="M184" s="66">
        <f>I184*'Rate Codes'!$D$8</f>
        <v>27.2608838</v>
      </c>
      <c r="N184" s="67">
        <f t="shared" si="125"/>
        <v>-573.8599353</v>
      </c>
      <c r="O184" s="25">
        <f t="shared" si="126"/>
        <v>106.2863176</v>
      </c>
      <c r="P184" s="81">
        <f t="shared" si="127"/>
        <v>-467.5736177</v>
      </c>
      <c r="Q184" s="25">
        <f t="shared" si="128"/>
        <v>5.31431588</v>
      </c>
      <c r="R184" s="81">
        <f t="shared" si="129"/>
        <v>-462.2593018</v>
      </c>
    </row>
    <row r="185">
      <c r="A185" s="12"/>
      <c r="B185" s="80" t="s">
        <v>98</v>
      </c>
      <c r="C185" s="87">
        <v>31.0</v>
      </c>
      <c r="D185" s="86">
        <v>0.35277916666666664</v>
      </c>
      <c r="E185" s="88">
        <v>0.1281742617</v>
      </c>
      <c r="F185" s="89">
        <f t="shared" si="122"/>
        <v>7884.389472</v>
      </c>
      <c r="G185" s="81">
        <v>5559.0</v>
      </c>
      <c r="H185" s="81">
        <f t="shared" si="123"/>
        <v>-2325.389472</v>
      </c>
      <c r="I185" s="25">
        <f t="shared" si="130"/>
        <v>1961.099388</v>
      </c>
      <c r="J185" s="64">
        <f>C185*'Rate Codes'!$D$7</f>
        <v>53.490035</v>
      </c>
      <c r="K185" s="25">
        <f>I185*'Rate Codes'!$D$8</f>
        <v>25.40212037</v>
      </c>
      <c r="L185" s="65">
        <f t="shared" si="124"/>
        <v>78.89215537</v>
      </c>
      <c r="M185" s="66">
        <f>I185*'Rate Codes'!$D$8</f>
        <v>25.40212037</v>
      </c>
      <c r="N185" s="67">
        <f t="shared" si="125"/>
        <v>-767.3785259</v>
      </c>
      <c r="O185" s="25">
        <f t="shared" si="126"/>
        <v>104.2942757</v>
      </c>
      <c r="P185" s="81">
        <f t="shared" si="127"/>
        <v>-663.0842501</v>
      </c>
      <c r="Q185" s="25">
        <f t="shared" si="128"/>
        <v>5.214713787</v>
      </c>
      <c r="R185" s="81">
        <f t="shared" si="129"/>
        <v>-657.8695363</v>
      </c>
    </row>
    <row r="186">
      <c r="A186" s="12"/>
      <c r="B186" s="80" t="s">
        <v>121</v>
      </c>
      <c r="C186" s="87">
        <v>30.0</v>
      </c>
      <c r="D186" s="86">
        <v>0.31388750000000004</v>
      </c>
      <c r="E186" s="88">
        <v>0.1254860808</v>
      </c>
      <c r="F186" s="89">
        <f t="shared" si="122"/>
        <v>7719.031272</v>
      </c>
      <c r="G186" s="81">
        <v>4964.0</v>
      </c>
      <c r="H186" s="81">
        <f t="shared" si="123"/>
        <v>-2755.031272</v>
      </c>
      <c r="I186" s="25">
        <f t="shared" si="130"/>
        <v>1558.13755</v>
      </c>
      <c r="J186" s="64">
        <f>C186*'Rate Codes'!$D$7</f>
        <v>51.76455</v>
      </c>
      <c r="K186" s="25">
        <f>I186*'Rate Codes'!$D$8</f>
        <v>20.18255569</v>
      </c>
      <c r="L186" s="65">
        <f t="shared" si="124"/>
        <v>71.94710569</v>
      </c>
      <c r="M186" s="66">
        <f>I186*'Rate Codes'!$D$8</f>
        <v>20.18255569</v>
      </c>
      <c r="N186" s="67">
        <f t="shared" si="125"/>
        <v>-909.1603199</v>
      </c>
      <c r="O186" s="25">
        <f t="shared" si="126"/>
        <v>92.12966137</v>
      </c>
      <c r="P186" s="81">
        <f t="shared" si="127"/>
        <v>-817.0306585</v>
      </c>
      <c r="Q186" s="25">
        <f t="shared" si="128"/>
        <v>4.606483069</v>
      </c>
      <c r="R186" s="81">
        <f t="shared" si="129"/>
        <v>-812.4241755</v>
      </c>
    </row>
    <row r="187">
      <c r="A187" s="12"/>
      <c r="B187" s="80" t="s">
        <v>122</v>
      </c>
      <c r="C187" s="87">
        <v>31.0</v>
      </c>
      <c r="D187" s="86">
        <v>0.33125</v>
      </c>
      <c r="E187" s="88">
        <v>0.1449493112</v>
      </c>
      <c r="F187" s="89">
        <f t="shared" si="122"/>
        <v>8916.273892</v>
      </c>
      <c r="G187" s="81">
        <v>6634.0</v>
      </c>
      <c r="H187" s="81">
        <f t="shared" si="123"/>
        <v>-2282.273892</v>
      </c>
      <c r="I187" s="25">
        <f t="shared" si="130"/>
        <v>2197.5125</v>
      </c>
      <c r="J187" s="64">
        <f>C187*'Rate Codes'!$D$7</f>
        <v>53.490035</v>
      </c>
      <c r="K187" s="25">
        <f>I187*'Rate Codes'!$D$8</f>
        <v>28.46437941</v>
      </c>
      <c r="L187" s="65">
        <f t="shared" si="124"/>
        <v>81.95441441</v>
      </c>
      <c r="M187" s="66">
        <f>I187*'Rate Codes'!$D$8</f>
        <v>28.46437941</v>
      </c>
      <c r="N187" s="67">
        <f t="shared" si="125"/>
        <v>-753.1503844</v>
      </c>
      <c r="O187" s="25">
        <f t="shared" si="126"/>
        <v>110.4187938</v>
      </c>
      <c r="P187" s="81">
        <f t="shared" si="127"/>
        <v>-642.7315906</v>
      </c>
      <c r="Q187" s="25">
        <f t="shared" si="128"/>
        <v>5.520939691</v>
      </c>
      <c r="R187" s="81">
        <f t="shared" si="129"/>
        <v>-637.2106509</v>
      </c>
    </row>
    <row r="188">
      <c r="A188" s="12"/>
      <c r="B188" s="80" t="s">
        <v>123</v>
      </c>
      <c r="C188" s="87">
        <v>31.0</v>
      </c>
      <c r="D188" s="86">
        <v>0.3951375</v>
      </c>
      <c r="E188" s="88">
        <v>0.1246952409</v>
      </c>
      <c r="F188" s="89">
        <f t="shared" si="122"/>
        <v>7670.3843</v>
      </c>
      <c r="G188" s="81">
        <v>5909.0</v>
      </c>
      <c r="H188" s="81">
        <f t="shared" si="123"/>
        <v>-1761.3843</v>
      </c>
      <c r="I188" s="25">
        <f t="shared" si="130"/>
        <v>2334.867488</v>
      </c>
      <c r="J188" s="64">
        <f>C188*'Rate Codes'!$D$7</f>
        <v>53.490035</v>
      </c>
      <c r="K188" s="25">
        <f>I188*'Rate Codes'!$D$8</f>
        <v>30.24353857</v>
      </c>
      <c r="L188" s="65">
        <f t="shared" si="124"/>
        <v>83.73357357</v>
      </c>
      <c r="M188" s="66">
        <f>I188*'Rate Codes'!$D$8</f>
        <v>30.24353857</v>
      </c>
      <c r="N188" s="67">
        <f t="shared" si="125"/>
        <v>-581.256819</v>
      </c>
      <c r="O188" s="25">
        <f t="shared" si="126"/>
        <v>113.9771121</v>
      </c>
      <c r="P188" s="81">
        <f t="shared" si="127"/>
        <v>-467.2797068</v>
      </c>
      <c r="Q188" s="25">
        <f t="shared" si="128"/>
        <v>5.698855607</v>
      </c>
      <c r="R188" s="81">
        <f t="shared" si="129"/>
        <v>-461.5808512</v>
      </c>
    </row>
    <row r="189">
      <c r="A189" s="12"/>
      <c r="B189" s="80" t="s">
        <v>124</v>
      </c>
      <c r="C189" s="87">
        <v>30.0</v>
      </c>
      <c r="D189" s="86">
        <v>0.4756958333333334</v>
      </c>
      <c r="E189" s="88">
        <v>0.09825803101</v>
      </c>
      <c r="F189" s="89">
        <f t="shared" si="122"/>
        <v>6044.150947</v>
      </c>
      <c r="G189" s="81">
        <v>5270.0</v>
      </c>
      <c r="H189" s="81">
        <f t="shared" si="123"/>
        <v>-774.1509472</v>
      </c>
      <c r="I189" s="25">
        <f t="shared" si="130"/>
        <v>2506.917042</v>
      </c>
      <c r="J189" s="64">
        <f>C189*'Rate Codes'!$D$7</f>
        <v>51.76455</v>
      </c>
      <c r="K189" s="25">
        <f>I189*'Rate Codes'!$D$8</f>
        <v>32.47209644</v>
      </c>
      <c r="L189" s="65">
        <f t="shared" si="124"/>
        <v>84.23664644</v>
      </c>
      <c r="M189" s="66">
        <f>I189*'Rate Codes'!$D$8</f>
        <v>32.47209644</v>
      </c>
      <c r="N189" s="67">
        <f t="shared" si="125"/>
        <v>-255.4698126</v>
      </c>
      <c r="O189" s="25">
        <f t="shared" si="126"/>
        <v>116.7087429</v>
      </c>
      <c r="P189" s="81">
        <f t="shared" si="127"/>
        <v>-138.7610697</v>
      </c>
      <c r="Q189" s="25">
        <f t="shared" si="128"/>
        <v>5.835437144</v>
      </c>
      <c r="R189" s="81">
        <f t="shared" si="129"/>
        <v>-132.9256326</v>
      </c>
    </row>
    <row r="190">
      <c r="A190" s="12"/>
      <c r="B190" s="80" t="s">
        <v>125</v>
      </c>
      <c r="C190" s="87">
        <v>31.0</v>
      </c>
      <c r="D190" s="86">
        <v>0.5590291666666667</v>
      </c>
      <c r="E190" s="88">
        <v>0.06840443866</v>
      </c>
      <c r="F190" s="89">
        <f t="shared" si="122"/>
        <v>4207.765497</v>
      </c>
      <c r="G190" s="81">
        <v>5946.0</v>
      </c>
      <c r="H190" s="81">
        <f t="shared" si="123"/>
        <v>1738.234503</v>
      </c>
      <c r="I190" s="25">
        <f t="shared" si="130"/>
        <v>3323.987425</v>
      </c>
      <c r="J190" s="64">
        <f>C190*'Rate Codes'!$D$7</f>
        <v>53.490035</v>
      </c>
      <c r="K190" s="25">
        <f>I190*'Rate Codes'!$D$8</f>
        <v>43.05560912</v>
      </c>
      <c r="L190" s="65">
        <f t="shared" si="124"/>
        <v>96.54564412</v>
      </c>
      <c r="M190" s="66">
        <f>I190*'Rate Codes'!$D$8</f>
        <v>43.05560912</v>
      </c>
      <c r="N190" s="67">
        <f t="shared" si="125"/>
        <v>119.7643572</v>
      </c>
      <c r="O190" s="25">
        <f t="shared" si="126"/>
        <v>139.6012532</v>
      </c>
      <c r="P190" s="81">
        <f t="shared" si="127"/>
        <v>259.3656105</v>
      </c>
      <c r="Q190" s="25">
        <f t="shared" si="128"/>
        <v>12.96828052</v>
      </c>
      <c r="R190" s="81">
        <f t="shared" si="129"/>
        <v>272.333891</v>
      </c>
    </row>
    <row r="191">
      <c r="A191" s="12"/>
      <c r="B191" s="80" t="s">
        <v>126</v>
      </c>
      <c r="C191" s="87">
        <v>30.0</v>
      </c>
      <c r="D191" s="86">
        <v>0.63125</v>
      </c>
      <c r="E191" s="88">
        <v>0.0271408052</v>
      </c>
      <c r="F191" s="89">
        <f t="shared" si="122"/>
        <v>1669.513645</v>
      </c>
      <c r="G191" s="81">
        <v>5587.0</v>
      </c>
      <c r="H191" s="81">
        <f t="shared" si="123"/>
        <v>3917.486355</v>
      </c>
      <c r="I191" s="25">
        <f t="shared" si="130"/>
        <v>3526.79375</v>
      </c>
      <c r="J191" s="64">
        <f>C191*'Rate Codes'!$D$7</f>
        <v>51.76455</v>
      </c>
      <c r="K191" s="25">
        <f>I191*'Rate Codes'!$D$8</f>
        <v>45.68255944</v>
      </c>
      <c r="L191" s="65">
        <f t="shared" si="124"/>
        <v>97.44710944</v>
      </c>
      <c r="M191" s="66">
        <f>I191*'Rate Codes'!$D$8</f>
        <v>45.68255944</v>
      </c>
      <c r="N191" s="67">
        <f t="shared" si="125"/>
        <v>269.9148099</v>
      </c>
      <c r="O191" s="25">
        <f t="shared" si="126"/>
        <v>143.1296689</v>
      </c>
      <c r="P191" s="81">
        <f t="shared" si="127"/>
        <v>413.0444788</v>
      </c>
      <c r="Q191" s="25">
        <f t="shared" si="128"/>
        <v>20.65222394</v>
      </c>
      <c r="R191" s="81">
        <f t="shared" si="129"/>
        <v>433.6967027</v>
      </c>
    </row>
    <row r="192">
      <c r="A192" s="12"/>
      <c r="B192" s="80" t="s">
        <v>127</v>
      </c>
      <c r="C192" s="87">
        <v>31.0</v>
      </c>
      <c r="D192" s="86">
        <v>0.6680541666666667</v>
      </c>
      <c r="E192" s="88">
        <v>0.01559005293</v>
      </c>
      <c r="F192" s="89">
        <f t="shared" si="122"/>
        <v>958.9916693</v>
      </c>
      <c r="G192" s="81">
        <v>5490.0</v>
      </c>
      <c r="H192" s="81">
        <f t="shared" si="123"/>
        <v>4531.008331</v>
      </c>
      <c r="I192" s="25">
        <f t="shared" si="130"/>
        <v>3667.617375</v>
      </c>
      <c r="J192" s="64">
        <f>C192*'Rate Codes'!$D$7</f>
        <v>53.490035</v>
      </c>
      <c r="K192" s="25">
        <f>I192*'Rate Codes'!$D$8</f>
        <v>47.50664786</v>
      </c>
      <c r="L192" s="65">
        <f t="shared" si="124"/>
        <v>100.9966829</v>
      </c>
      <c r="M192" s="66">
        <f>I192*'Rate Codes'!$D$8</f>
        <v>47.50664786</v>
      </c>
      <c r="N192" s="67">
        <f t="shared" si="125"/>
        <v>312.186474</v>
      </c>
      <c r="O192" s="25">
        <f t="shared" si="126"/>
        <v>148.5033307</v>
      </c>
      <c r="P192" s="81">
        <f t="shared" si="127"/>
        <v>460.6898047</v>
      </c>
      <c r="Q192" s="25">
        <f t="shared" si="128"/>
        <v>23.03449023</v>
      </c>
      <c r="R192" s="81">
        <f t="shared" si="129"/>
        <v>483.7242949</v>
      </c>
    </row>
    <row r="193">
      <c r="A193" s="12"/>
      <c r="B193" s="77" t="s">
        <v>109</v>
      </c>
      <c r="C193" s="82"/>
      <c r="D193" s="83"/>
      <c r="E193" s="83">
        <f t="shared" ref="E193:N193" si="131">SUM(E181:E192)</f>
        <v>1</v>
      </c>
      <c r="F193" s="84">
        <f t="shared" si="131"/>
        <v>61513.04769</v>
      </c>
      <c r="G193" s="85">
        <f t="shared" si="131"/>
        <v>66307</v>
      </c>
      <c r="H193" s="85">
        <f t="shared" si="131"/>
        <v>4793.952312</v>
      </c>
      <c r="I193" s="48">
        <f t="shared" si="131"/>
        <v>32794.56265</v>
      </c>
      <c r="J193" s="85">
        <f t="shared" si="131"/>
        <v>629.802025</v>
      </c>
      <c r="K193" s="85">
        <f t="shared" si="131"/>
        <v>424.7879701</v>
      </c>
      <c r="L193" s="85">
        <f t="shared" si="131"/>
        <v>1054.589995</v>
      </c>
      <c r="M193" s="85">
        <f t="shared" si="131"/>
        <v>424.7879701</v>
      </c>
      <c r="N193" s="85">
        <f t="shared" si="131"/>
        <v>-2770.342737</v>
      </c>
      <c r="O193" s="48">
        <f t="shared" si="126"/>
        <v>1479.377965</v>
      </c>
      <c r="P193" s="85">
        <f t="shared" ref="P193:R193" si="132">SUM(P181:P192)</f>
        <v>-1290.964772</v>
      </c>
      <c r="Q193" s="85">
        <f t="shared" si="132"/>
        <v>131.3945414</v>
      </c>
      <c r="R193" s="85">
        <f t="shared" si="132"/>
        <v>-1159.57023</v>
      </c>
    </row>
    <row r="195">
      <c r="A195" s="76">
        <v>12.0</v>
      </c>
      <c r="B195" s="12" t="s">
        <v>128</v>
      </c>
      <c r="C195" s="12"/>
      <c r="D195" s="15"/>
      <c r="E195" s="15">
        <f>$E$1* POWER((1 -$H$1),A195)</f>
        <v>61205.48245</v>
      </c>
      <c r="F195" s="1" t="s">
        <v>132</v>
      </c>
      <c r="G195" s="8">
        <f>E195/G209</f>
        <v>0.9230621571</v>
      </c>
      <c r="H195" s="1" t="s">
        <v>133</v>
      </c>
      <c r="I195" s="6">
        <f>1-G195</f>
        <v>0.07693784292</v>
      </c>
      <c r="J195" s="12" t="s">
        <v>74</v>
      </c>
      <c r="M195" s="12" t="s">
        <v>78</v>
      </c>
      <c r="N195" s="12"/>
      <c r="O195" s="12"/>
      <c r="P195" s="12"/>
      <c r="Q195" s="12"/>
      <c r="R195" s="12"/>
    </row>
    <row r="196">
      <c r="A196" s="12"/>
      <c r="B196" s="77" t="s">
        <v>83</v>
      </c>
      <c r="C196" s="78" t="s">
        <v>88</v>
      </c>
      <c r="D196" s="44" t="s">
        <v>87</v>
      </c>
      <c r="E196" s="77" t="s">
        <v>140</v>
      </c>
      <c r="F196" s="77" t="s">
        <v>135</v>
      </c>
      <c r="G196" s="78" t="s">
        <v>89</v>
      </c>
      <c r="H196" s="78" t="s">
        <v>138</v>
      </c>
      <c r="I196" s="20" t="s">
        <v>139</v>
      </c>
      <c r="J196" s="78" t="s">
        <v>76</v>
      </c>
      <c r="K196" s="78" t="s">
        <v>82</v>
      </c>
      <c r="L196" s="78" t="s">
        <v>109</v>
      </c>
      <c r="M196" s="78" t="s">
        <v>80</v>
      </c>
      <c r="N196" s="78" t="s">
        <v>67</v>
      </c>
      <c r="O196" s="45" t="s">
        <v>114</v>
      </c>
      <c r="P196" s="79" t="s">
        <v>115</v>
      </c>
      <c r="Q196" s="79" t="s">
        <v>60</v>
      </c>
      <c r="R196" s="79" t="s">
        <v>109</v>
      </c>
    </row>
    <row r="197">
      <c r="A197" s="12"/>
      <c r="B197" s="80" t="s">
        <v>117</v>
      </c>
      <c r="C197" s="87">
        <v>31.0</v>
      </c>
      <c r="D197" s="86">
        <v>0.6479166666666667</v>
      </c>
      <c r="E197" s="88">
        <v>0.02731296772</v>
      </c>
      <c r="F197" s="89">
        <f t="shared" ref="F197:F208" si="133">$E$195*E197</f>
        <v>1671.703366</v>
      </c>
      <c r="G197" s="81">
        <v>5726.0</v>
      </c>
      <c r="H197" s="81">
        <f t="shared" ref="H197:H208" si="134">G197-F197</f>
        <v>4054.296634</v>
      </c>
      <c r="I197" s="25">
        <f t="shared" ref="I197:I208" si="135">D197*G197*(1+$I$195)</f>
        <v>3995.407987</v>
      </c>
      <c r="J197" s="64">
        <f>C197*'Rate Codes'!$D$7</f>
        <v>53.490035</v>
      </c>
      <c r="K197" s="25">
        <f>I197*'Rate Codes'!$D$8</f>
        <v>51.75251965</v>
      </c>
      <c r="L197" s="65">
        <f t="shared" ref="L197:L208" si="136">SUM(J197:K197)</f>
        <v>105.2425546</v>
      </c>
      <c r="M197" s="66">
        <f>I197*'Rate Codes'!$D$8</f>
        <v>51.75251965</v>
      </c>
      <c r="N197" s="67">
        <f t="shared" ref="N197:N208" si="137">H197*IF(D197&gt;51%,0.0689,0.33)</f>
        <v>279.3410381</v>
      </c>
      <c r="O197" s="25">
        <f t="shared" ref="O197:O209" si="138">L197+M197</f>
        <v>156.9950743</v>
      </c>
      <c r="P197" s="81">
        <f t="shared" ref="P197:P208" si="139">N197+L197+M197</f>
        <v>436.3361124</v>
      </c>
      <c r="Q197" s="25">
        <f t="shared" ref="Q197:Q208" si="140">(IF(N197&gt;0,N197,0)+O197)*0.05</f>
        <v>21.81680562</v>
      </c>
      <c r="R197" s="81">
        <f t="shared" ref="R197:R208" si="141">P197+Q197</f>
        <v>458.152918</v>
      </c>
    </row>
    <row r="198">
      <c r="A198" s="12"/>
      <c r="B198" s="80" t="s">
        <v>118</v>
      </c>
      <c r="C198" s="87">
        <v>28.0</v>
      </c>
      <c r="D198" s="86">
        <v>0.5868041666666667</v>
      </c>
      <c r="E198" s="88">
        <v>0.04620731865</v>
      </c>
      <c r="F198" s="89">
        <f t="shared" si="133"/>
        <v>2828.141231</v>
      </c>
      <c r="G198" s="81">
        <v>5279.0</v>
      </c>
      <c r="H198" s="81">
        <f t="shared" si="134"/>
        <v>2450.858769</v>
      </c>
      <c r="I198" s="25">
        <f t="shared" si="135"/>
        <v>3336.072567</v>
      </c>
      <c r="J198" s="64">
        <f>C198*'Rate Codes'!$D$7</f>
        <v>48.31358</v>
      </c>
      <c r="K198" s="25">
        <f>I198*'Rate Codes'!$D$8</f>
        <v>43.21214797</v>
      </c>
      <c r="L198" s="65">
        <f t="shared" si="136"/>
        <v>91.52572797</v>
      </c>
      <c r="M198" s="66">
        <f>I198*'Rate Codes'!$D$8</f>
        <v>43.21214797</v>
      </c>
      <c r="N198" s="67">
        <f t="shared" si="137"/>
        <v>168.8641692</v>
      </c>
      <c r="O198" s="25">
        <f t="shared" si="138"/>
        <v>134.7378759</v>
      </c>
      <c r="P198" s="81">
        <f t="shared" si="139"/>
        <v>303.6020451</v>
      </c>
      <c r="Q198" s="25">
        <f t="shared" si="140"/>
        <v>15.18010226</v>
      </c>
      <c r="R198" s="81">
        <f t="shared" si="141"/>
        <v>318.7821474</v>
      </c>
    </row>
    <row r="199">
      <c r="A199" s="12"/>
      <c r="B199" s="80" t="s">
        <v>119</v>
      </c>
      <c r="C199" s="87">
        <v>31.0</v>
      </c>
      <c r="D199" s="86">
        <v>0.5083333333333333</v>
      </c>
      <c r="E199" s="88">
        <v>0.08500831624</v>
      </c>
      <c r="F199" s="89">
        <f t="shared" si="133"/>
        <v>5202.975008</v>
      </c>
      <c r="G199" s="81">
        <v>4991.0</v>
      </c>
      <c r="H199" s="81">
        <f t="shared" si="134"/>
        <v>-211.9750077</v>
      </c>
      <c r="I199" s="25">
        <f t="shared" si="135"/>
        <v>2732.290027</v>
      </c>
      <c r="J199" s="64">
        <f>C199*'Rate Codes'!$D$7</f>
        <v>53.490035</v>
      </c>
      <c r="K199" s="25">
        <f>I199*'Rate Codes'!$D$8</f>
        <v>35.39135272</v>
      </c>
      <c r="L199" s="65">
        <f t="shared" si="136"/>
        <v>88.88138772</v>
      </c>
      <c r="M199" s="66">
        <f>I199*'Rate Codes'!$D$8</f>
        <v>35.39135272</v>
      </c>
      <c r="N199" s="67">
        <f t="shared" si="137"/>
        <v>-69.95175254</v>
      </c>
      <c r="O199" s="25">
        <f t="shared" si="138"/>
        <v>124.2727404</v>
      </c>
      <c r="P199" s="81">
        <f t="shared" si="139"/>
        <v>54.3209879</v>
      </c>
      <c r="Q199" s="25">
        <f t="shared" si="140"/>
        <v>6.213637022</v>
      </c>
      <c r="R199" s="81">
        <f t="shared" si="141"/>
        <v>60.53462492</v>
      </c>
    </row>
    <row r="200">
      <c r="A200" s="12"/>
      <c r="B200" s="80" t="s">
        <v>120</v>
      </c>
      <c r="C200" s="87">
        <v>30.0</v>
      </c>
      <c r="D200" s="86">
        <v>0.425</v>
      </c>
      <c r="E200" s="88">
        <v>0.108773175</v>
      </c>
      <c r="F200" s="89">
        <f t="shared" si="133"/>
        <v>6657.514653</v>
      </c>
      <c r="G200" s="81">
        <v>4952.0</v>
      </c>
      <c r="H200" s="81">
        <f t="shared" si="134"/>
        <v>-1705.514653</v>
      </c>
      <c r="I200" s="25">
        <f t="shared" si="135"/>
        <v>2266.523384</v>
      </c>
      <c r="J200" s="64">
        <f>C200*'Rate Codes'!$D$7</f>
        <v>51.76455</v>
      </c>
      <c r="K200" s="25">
        <f>I200*'Rate Codes'!$D$8</f>
        <v>29.3582774</v>
      </c>
      <c r="L200" s="65">
        <f t="shared" si="136"/>
        <v>81.1228274</v>
      </c>
      <c r="M200" s="66">
        <f>I200*'Rate Codes'!$D$8</f>
        <v>29.3582774</v>
      </c>
      <c r="N200" s="67">
        <f t="shared" si="137"/>
        <v>-562.8198356</v>
      </c>
      <c r="O200" s="25">
        <f t="shared" si="138"/>
        <v>110.4811048</v>
      </c>
      <c r="P200" s="81">
        <f t="shared" si="139"/>
        <v>-452.3387308</v>
      </c>
      <c r="Q200" s="25">
        <f t="shared" si="140"/>
        <v>5.52405524</v>
      </c>
      <c r="R200" s="81">
        <f t="shared" si="141"/>
        <v>-446.8146756</v>
      </c>
    </row>
    <row r="201">
      <c r="A201" s="12"/>
      <c r="B201" s="80" t="s">
        <v>98</v>
      </c>
      <c r="C201" s="87">
        <v>31.0</v>
      </c>
      <c r="D201" s="86">
        <v>0.35277916666666664</v>
      </c>
      <c r="E201" s="88">
        <v>0.1281742617</v>
      </c>
      <c r="F201" s="89">
        <f t="shared" si="133"/>
        <v>7844.967525</v>
      </c>
      <c r="G201" s="81">
        <v>5559.0</v>
      </c>
      <c r="H201" s="81">
        <f t="shared" si="134"/>
        <v>-2285.967525</v>
      </c>
      <c r="I201" s="25">
        <f t="shared" si="135"/>
        <v>2111.982144</v>
      </c>
      <c r="J201" s="64">
        <f>C201*'Rate Codes'!$D$7</f>
        <v>53.490035</v>
      </c>
      <c r="K201" s="25">
        <f>I201*'Rate Codes'!$D$8</f>
        <v>27.35650471</v>
      </c>
      <c r="L201" s="65">
        <f t="shared" si="136"/>
        <v>80.84653971</v>
      </c>
      <c r="M201" s="66">
        <f>I201*'Rate Codes'!$D$8</f>
        <v>27.35650471</v>
      </c>
      <c r="N201" s="67">
        <f t="shared" si="137"/>
        <v>-754.3692832</v>
      </c>
      <c r="O201" s="25">
        <f t="shared" si="138"/>
        <v>108.2030444</v>
      </c>
      <c r="P201" s="81">
        <f t="shared" si="139"/>
        <v>-646.1662388</v>
      </c>
      <c r="Q201" s="25">
        <f t="shared" si="140"/>
        <v>5.410152221</v>
      </c>
      <c r="R201" s="81">
        <f t="shared" si="141"/>
        <v>-640.7560866</v>
      </c>
    </row>
    <row r="202">
      <c r="A202" s="12"/>
      <c r="B202" s="80" t="s">
        <v>121</v>
      </c>
      <c r="C202" s="87">
        <v>30.0</v>
      </c>
      <c r="D202" s="86">
        <v>0.31388750000000004</v>
      </c>
      <c r="E202" s="88">
        <v>0.1254860808</v>
      </c>
      <c r="F202" s="89">
        <f t="shared" si="133"/>
        <v>7680.436116</v>
      </c>
      <c r="G202" s="81">
        <v>4964.0</v>
      </c>
      <c r="H202" s="81">
        <f t="shared" si="134"/>
        <v>-2716.436116</v>
      </c>
      <c r="I202" s="25">
        <f t="shared" si="135"/>
        <v>1678.017292</v>
      </c>
      <c r="J202" s="64">
        <f>C202*'Rate Codes'!$D$7</f>
        <v>51.76455</v>
      </c>
      <c r="K202" s="25">
        <f>I202*'Rate Codes'!$D$8</f>
        <v>21.73535798</v>
      </c>
      <c r="L202" s="65">
        <f t="shared" si="136"/>
        <v>73.49990798</v>
      </c>
      <c r="M202" s="66">
        <f>I202*'Rate Codes'!$D$8</f>
        <v>21.73535798</v>
      </c>
      <c r="N202" s="67">
        <f t="shared" si="137"/>
        <v>-896.4239183</v>
      </c>
      <c r="O202" s="25">
        <f t="shared" si="138"/>
        <v>95.23526597</v>
      </c>
      <c r="P202" s="81">
        <f t="shared" si="139"/>
        <v>-801.1886523</v>
      </c>
      <c r="Q202" s="25">
        <f t="shared" si="140"/>
        <v>4.761763298</v>
      </c>
      <c r="R202" s="81">
        <f t="shared" si="141"/>
        <v>-796.426889</v>
      </c>
    </row>
    <row r="203">
      <c r="A203" s="12"/>
      <c r="B203" s="80" t="s">
        <v>122</v>
      </c>
      <c r="C203" s="87">
        <v>31.0</v>
      </c>
      <c r="D203" s="86">
        <v>0.33125</v>
      </c>
      <c r="E203" s="88">
        <v>0.1449493112</v>
      </c>
      <c r="F203" s="89">
        <f t="shared" si="133"/>
        <v>8871.692523</v>
      </c>
      <c r="G203" s="81">
        <v>6634.0</v>
      </c>
      <c r="H203" s="81">
        <f t="shared" si="134"/>
        <v>-2237.692523</v>
      </c>
      <c r="I203" s="25">
        <f t="shared" si="135"/>
        <v>2366.584372</v>
      </c>
      <c r="J203" s="64">
        <f>C203*'Rate Codes'!$D$7</f>
        <v>53.490035</v>
      </c>
      <c r="K203" s="25">
        <f>I203*'Rate Codes'!$D$8</f>
        <v>30.65436736</v>
      </c>
      <c r="L203" s="65">
        <f t="shared" si="136"/>
        <v>84.14440236</v>
      </c>
      <c r="M203" s="66">
        <f>I203*'Rate Codes'!$D$8</f>
        <v>30.65436736</v>
      </c>
      <c r="N203" s="67">
        <f t="shared" si="137"/>
        <v>-738.4385325</v>
      </c>
      <c r="O203" s="25">
        <f t="shared" si="138"/>
        <v>114.7987697</v>
      </c>
      <c r="P203" s="81">
        <f t="shared" si="139"/>
        <v>-623.6397628</v>
      </c>
      <c r="Q203" s="25">
        <f t="shared" si="140"/>
        <v>5.739938486</v>
      </c>
      <c r="R203" s="81">
        <f t="shared" si="141"/>
        <v>-617.8998243</v>
      </c>
    </row>
    <row r="204">
      <c r="A204" s="12"/>
      <c r="B204" s="80" t="s">
        <v>123</v>
      </c>
      <c r="C204" s="87">
        <v>31.0</v>
      </c>
      <c r="D204" s="86">
        <v>0.3951375</v>
      </c>
      <c r="E204" s="88">
        <v>0.1246952409</v>
      </c>
      <c r="F204" s="89">
        <f t="shared" si="133"/>
        <v>7632.032378</v>
      </c>
      <c r="G204" s="81">
        <v>5909.0</v>
      </c>
      <c r="H204" s="81">
        <f t="shared" si="134"/>
        <v>-1723.032378</v>
      </c>
      <c r="I204" s="25">
        <f t="shared" si="135"/>
        <v>2514.507155</v>
      </c>
      <c r="J204" s="64">
        <f>C204*'Rate Codes'!$D$7</f>
        <v>53.490035</v>
      </c>
      <c r="K204" s="25">
        <f>I204*'Rate Codes'!$D$8</f>
        <v>32.57041119</v>
      </c>
      <c r="L204" s="65">
        <f t="shared" si="136"/>
        <v>86.06044619</v>
      </c>
      <c r="M204" s="66">
        <f>I204*'Rate Codes'!$D$8</f>
        <v>32.57041119</v>
      </c>
      <c r="N204" s="67">
        <f t="shared" si="137"/>
        <v>-568.6006849</v>
      </c>
      <c r="O204" s="25">
        <f t="shared" si="138"/>
        <v>118.6308574</v>
      </c>
      <c r="P204" s="81">
        <f t="shared" si="139"/>
        <v>-449.9698275</v>
      </c>
      <c r="Q204" s="25">
        <f t="shared" si="140"/>
        <v>5.931542869</v>
      </c>
      <c r="R204" s="81">
        <f t="shared" si="141"/>
        <v>-444.0382846</v>
      </c>
    </row>
    <row r="205">
      <c r="A205" s="12"/>
      <c r="B205" s="80" t="s">
        <v>124</v>
      </c>
      <c r="C205" s="87">
        <v>30.0</v>
      </c>
      <c r="D205" s="86">
        <v>0.4756958333333334</v>
      </c>
      <c r="E205" s="88">
        <v>0.09825803101</v>
      </c>
      <c r="F205" s="89">
        <f t="shared" si="133"/>
        <v>6013.930192</v>
      </c>
      <c r="G205" s="81">
        <v>5270.0</v>
      </c>
      <c r="H205" s="81">
        <f t="shared" si="134"/>
        <v>-743.9301925</v>
      </c>
      <c r="I205" s="25">
        <f t="shared" si="135"/>
        <v>2699.793831</v>
      </c>
      <c r="J205" s="64">
        <f>C205*'Rate Codes'!$D$7</f>
        <v>51.76455</v>
      </c>
      <c r="K205" s="25">
        <f>I205*'Rate Codes'!$D$8</f>
        <v>34.9704295</v>
      </c>
      <c r="L205" s="65">
        <f t="shared" si="136"/>
        <v>86.7349795</v>
      </c>
      <c r="M205" s="66">
        <f>I205*'Rate Codes'!$D$8</f>
        <v>34.9704295</v>
      </c>
      <c r="N205" s="67">
        <f t="shared" si="137"/>
        <v>-245.4969635</v>
      </c>
      <c r="O205" s="25">
        <f t="shared" si="138"/>
        <v>121.705409</v>
      </c>
      <c r="P205" s="81">
        <f t="shared" si="139"/>
        <v>-123.7915545</v>
      </c>
      <c r="Q205" s="25">
        <f t="shared" si="140"/>
        <v>6.08527045</v>
      </c>
      <c r="R205" s="81">
        <f t="shared" si="141"/>
        <v>-117.7062841</v>
      </c>
    </row>
    <row r="206">
      <c r="A206" s="12"/>
      <c r="B206" s="80" t="s">
        <v>125</v>
      </c>
      <c r="C206" s="87">
        <v>31.0</v>
      </c>
      <c r="D206" s="86">
        <v>0.5590291666666667</v>
      </c>
      <c r="E206" s="88">
        <v>0.06840443866</v>
      </c>
      <c r="F206" s="89">
        <f t="shared" si="133"/>
        <v>4186.72667</v>
      </c>
      <c r="G206" s="81">
        <v>5946.0</v>
      </c>
      <c r="H206" s="81">
        <f t="shared" si="134"/>
        <v>1759.27333</v>
      </c>
      <c r="I206" s="25">
        <f t="shared" si="135"/>
        <v>3579.727847</v>
      </c>
      <c r="J206" s="64">
        <f>C206*'Rate Codes'!$D$7</f>
        <v>53.490035</v>
      </c>
      <c r="K206" s="25">
        <f>I206*'Rate Codes'!$D$8</f>
        <v>46.36821481</v>
      </c>
      <c r="L206" s="65">
        <f t="shared" si="136"/>
        <v>99.85824981</v>
      </c>
      <c r="M206" s="66">
        <f>I206*'Rate Codes'!$D$8</f>
        <v>46.36821481</v>
      </c>
      <c r="N206" s="67">
        <f t="shared" si="137"/>
        <v>121.2139324</v>
      </c>
      <c r="O206" s="25">
        <f t="shared" si="138"/>
        <v>146.2264646</v>
      </c>
      <c r="P206" s="81">
        <f t="shared" si="139"/>
        <v>267.4403971</v>
      </c>
      <c r="Q206" s="25">
        <f t="shared" si="140"/>
        <v>13.37201985</v>
      </c>
      <c r="R206" s="81">
        <f t="shared" si="141"/>
        <v>280.8124169</v>
      </c>
    </row>
    <row r="207">
      <c r="A207" s="12"/>
      <c r="B207" s="80" t="s">
        <v>126</v>
      </c>
      <c r="C207" s="87">
        <v>30.0</v>
      </c>
      <c r="D207" s="86">
        <v>0.63125</v>
      </c>
      <c r="E207" s="88">
        <v>0.0271408052</v>
      </c>
      <c r="F207" s="89">
        <f t="shared" si="133"/>
        <v>1661.166076</v>
      </c>
      <c r="G207" s="81">
        <v>5587.0</v>
      </c>
      <c r="H207" s="81">
        <f t="shared" si="134"/>
        <v>3925.833924</v>
      </c>
      <c r="I207" s="25">
        <f t="shared" si="135"/>
        <v>3798.137654</v>
      </c>
      <c r="J207" s="64">
        <f>C207*'Rate Codes'!$D$7</f>
        <v>51.76455</v>
      </c>
      <c r="K207" s="25">
        <f>I207*'Rate Codes'!$D$8</f>
        <v>49.19727703</v>
      </c>
      <c r="L207" s="65">
        <f t="shared" si="136"/>
        <v>100.961827</v>
      </c>
      <c r="M207" s="66">
        <f>I207*'Rate Codes'!$D$8</f>
        <v>49.19727703</v>
      </c>
      <c r="N207" s="67">
        <f t="shared" si="137"/>
        <v>270.4899573</v>
      </c>
      <c r="O207" s="25">
        <f t="shared" si="138"/>
        <v>150.1591041</v>
      </c>
      <c r="P207" s="81">
        <f t="shared" si="139"/>
        <v>420.6490614</v>
      </c>
      <c r="Q207" s="25">
        <f t="shared" si="140"/>
        <v>21.03245307</v>
      </c>
      <c r="R207" s="81">
        <f t="shared" si="141"/>
        <v>441.6815145</v>
      </c>
    </row>
    <row r="208">
      <c r="A208" s="12"/>
      <c r="B208" s="80" t="s">
        <v>127</v>
      </c>
      <c r="C208" s="87">
        <v>31.0</v>
      </c>
      <c r="D208" s="86">
        <v>0.6680541666666667</v>
      </c>
      <c r="E208" s="88">
        <v>0.01559005293</v>
      </c>
      <c r="F208" s="89">
        <f t="shared" si="133"/>
        <v>954.196711</v>
      </c>
      <c r="G208" s="81">
        <v>5490.0</v>
      </c>
      <c r="H208" s="81">
        <f t="shared" si="134"/>
        <v>4535.803289</v>
      </c>
      <c r="I208" s="25">
        <f t="shared" si="135"/>
        <v>3949.795944</v>
      </c>
      <c r="J208" s="64">
        <f>C208*'Rate Codes'!$D$7</f>
        <v>53.490035</v>
      </c>
      <c r="K208" s="25">
        <f>I208*'Rate Codes'!$D$8</f>
        <v>51.16170687</v>
      </c>
      <c r="L208" s="65">
        <f t="shared" si="136"/>
        <v>104.6517419</v>
      </c>
      <c r="M208" s="66">
        <f>I208*'Rate Codes'!$D$8</f>
        <v>51.16170687</v>
      </c>
      <c r="N208" s="67">
        <f t="shared" si="137"/>
        <v>312.5168466</v>
      </c>
      <c r="O208" s="25">
        <f t="shared" si="138"/>
        <v>155.8134487</v>
      </c>
      <c r="P208" s="81">
        <f t="shared" si="139"/>
        <v>468.3302954</v>
      </c>
      <c r="Q208" s="25">
        <f t="shared" si="140"/>
        <v>23.41651477</v>
      </c>
      <c r="R208" s="81">
        <f t="shared" si="141"/>
        <v>491.7468101</v>
      </c>
    </row>
    <row r="209">
      <c r="A209" s="12"/>
      <c r="B209" s="77" t="s">
        <v>109</v>
      </c>
      <c r="C209" s="82"/>
      <c r="D209" s="83"/>
      <c r="E209" s="83">
        <f t="shared" ref="E209:N209" si="142">SUM(E197:E208)</f>
        <v>1</v>
      </c>
      <c r="F209" s="84">
        <f t="shared" si="142"/>
        <v>61205.48245</v>
      </c>
      <c r="G209" s="85">
        <f t="shared" si="142"/>
        <v>66307</v>
      </c>
      <c r="H209" s="85">
        <f t="shared" si="142"/>
        <v>5101.51755</v>
      </c>
      <c r="I209" s="48">
        <f t="shared" si="142"/>
        <v>35028.8402</v>
      </c>
      <c r="J209" s="85">
        <f t="shared" si="142"/>
        <v>629.802025</v>
      </c>
      <c r="K209" s="85">
        <f t="shared" si="142"/>
        <v>453.7285672</v>
      </c>
      <c r="L209" s="85">
        <f t="shared" si="142"/>
        <v>1083.530592</v>
      </c>
      <c r="M209" s="85">
        <f t="shared" si="142"/>
        <v>453.7285672</v>
      </c>
      <c r="N209" s="85">
        <f t="shared" si="142"/>
        <v>-2683.675027</v>
      </c>
      <c r="O209" s="48">
        <f t="shared" si="138"/>
        <v>1537.259159</v>
      </c>
      <c r="P209" s="85">
        <f t="shared" ref="P209:R209" si="143">SUM(P197:P208)</f>
        <v>-1146.415868</v>
      </c>
      <c r="Q209" s="85">
        <f t="shared" si="143"/>
        <v>134.4842552</v>
      </c>
      <c r="R209" s="85">
        <f t="shared" si="143"/>
        <v>-1011.931612</v>
      </c>
    </row>
    <row r="211">
      <c r="A211" s="76">
        <v>13.0</v>
      </c>
      <c r="B211" s="12" t="s">
        <v>128</v>
      </c>
      <c r="C211" s="12"/>
      <c r="D211" s="15"/>
      <c r="E211" s="15">
        <f>$E$1* POWER((1 -$H$1),A211)</f>
        <v>60899.45504</v>
      </c>
      <c r="F211" s="1" t="s">
        <v>132</v>
      </c>
      <c r="G211" s="8">
        <f>E211/G225</f>
        <v>0.9184468463</v>
      </c>
      <c r="H211" s="1" t="s">
        <v>133</v>
      </c>
      <c r="I211" s="6">
        <f>1-G211</f>
        <v>0.08155315371</v>
      </c>
      <c r="J211" s="12" t="s">
        <v>74</v>
      </c>
      <c r="M211" s="12" t="s">
        <v>78</v>
      </c>
      <c r="N211" s="12"/>
      <c r="O211" s="12"/>
      <c r="P211" s="12"/>
      <c r="Q211" s="12"/>
      <c r="R211" s="12"/>
    </row>
    <row r="212">
      <c r="A212" s="12"/>
      <c r="B212" s="77" t="s">
        <v>83</v>
      </c>
      <c r="C212" s="78" t="s">
        <v>88</v>
      </c>
      <c r="D212" s="44" t="s">
        <v>87</v>
      </c>
      <c r="E212" s="77" t="s">
        <v>140</v>
      </c>
      <c r="F212" s="77" t="s">
        <v>135</v>
      </c>
      <c r="G212" s="78" t="s">
        <v>89</v>
      </c>
      <c r="H212" s="78" t="s">
        <v>138</v>
      </c>
      <c r="I212" s="20" t="s">
        <v>139</v>
      </c>
      <c r="J212" s="78" t="s">
        <v>76</v>
      </c>
      <c r="K212" s="78" t="s">
        <v>82</v>
      </c>
      <c r="L212" s="78" t="s">
        <v>109</v>
      </c>
      <c r="M212" s="78" t="s">
        <v>80</v>
      </c>
      <c r="N212" s="78" t="s">
        <v>67</v>
      </c>
      <c r="O212" s="45" t="s">
        <v>114</v>
      </c>
      <c r="P212" s="79" t="s">
        <v>115</v>
      </c>
      <c r="Q212" s="79" t="s">
        <v>60</v>
      </c>
      <c r="R212" s="79" t="s">
        <v>109</v>
      </c>
    </row>
    <row r="213">
      <c r="A213" s="12"/>
      <c r="B213" s="80" t="s">
        <v>117</v>
      </c>
      <c r="C213" s="87">
        <v>31.0</v>
      </c>
      <c r="D213" s="86">
        <v>0.6479166666666667</v>
      </c>
      <c r="E213" s="88">
        <v>0.02731296772</v>
      </c>
      <c r="F213" s="89">
        <f t="shared" ref="F213:F224" si="144">$E$211*E213</f>
        <v>1663.34485</v>
      </c>
      <c r="G213" s="81">
        <v>5726.0</v>
      </c>
      <c r="H213" s="81">
        <f t="shared" ref="H213:H224" si="145">G213-F213</f>
        <v>4062.65515</v>
      </c>
      <c r="I213" s="25">
        <f t="shared" ref="I213:I224" si="146">D213*G213*(1+$I$211)</f>
        <v>4012.530655</v>
      </c>
      <c r="J213" s="64">
        <f>C213*'Rate Codes'!$D$7</f>
        <v>53.490035</v>
      </c>
      <c r="K213" s="25">
        <f>I213*'Rate Codes'!$D$8</f>
        <v>51.97430957</v>
      </c>
      <c r="L213" s="65">
        <f t="shared" ref="L213:L224" si="147">SUM(J213:K213)</f>
        <v>105.4643446</v>
      </c>
      <c r="M213" s="66">
        <f>I213*'Rate Codes'!$D$8</f>
        <v>51.97430957</v>
      </c>
      <c r="N213" s="67">
        <f t="shared" ref="N213:N224" si="148">H213*IF(D213&gt;51%,0.0689,0.33)</f>
        <v>279.9169399</v>
      </c>
      <c r="O213" s="25">
        <f t="shared" ref="O213:O225" si="149">L213+M213</f>
        <v>157.4386541</v>
      </c>
      <c r="P213" s="81">
        <f t="shared" ref="P213:P224" si="150">N213+L213+M213</f>
        <v>437.355594</v>
      </c>
      <c r="Q213" s="25">
        <f t="shared" ref="Q213:Q224" si="151">(IF(N213&gt;0,N213,0)+O213)*0.05</f>
        <v>21.8677797</v>
      </c>
      <c r="R213" s="81">
        <f t="shared" ref="R213:R224" si="152">P213+Q213</f>
        <v>459.2233737</v>
      </c>
    </row>
    <row r="214">
      <c r="A214" s="12"/>
      <c r="B214" s="80" t="s">
        <v>118</v>
      </c>
      <c r="C214" s="87">
        <v>28.0</v>
      </c>
      <c r="D214" s="86">
        <v>0.5868041666666667</v>
      </c>
      <c r="E214" s="88">
        <v>0.04620731865</v>
      </c>
      <c r="F214" s="89">
        <f t="shared" si="144"/>
        <v>2814.000525</v>
      </c>
      <c r="G214" s="81">
        <v>5279.0</v>
      </c>
      <c r="H214" s="81">
        <f t="shared" si="145"/>
        <v>2464.999475</v>
      </c>
      <c r="I214" s="25">
        <f t="shared" si="146"/>
        <v>3350.369597</v>
      </c>
      <c r="J214" s="64">
        <f>C214*'Rate Codes'!$D$7</f>
        <v>48.31358</v>
      </c>
      <c r="K214" s="25">
        <f>I214*'Rate Codes'!$D$8</f>
        <v>43.39733738</v>
      </c>
      <c r="L214" s="65">
        <f t="shared" si="147"/>
        <v>91.71091738</v>
      </c>
      <c r="M214" s="66">
        <f>I214*'Rate Codes'!$D$8</f>
        <v>43.39733738</v>
      </c>
      <c r="N214" s="67">
        <f t="shared" si="148"/>
        <v>169.8384639</v>
      </c>
      <c r="O214" s="25">
        <f t="shared" si="149"/>
        <v>135.1082548</v>
      </c>
      <c r="P214" s="81">
        <f t="shared" si="150"/>
        <v>304.9467186</v>
      </c>
      <c r="Q214" s="25">
        <f t="shared" si="151"/>
        <v>15.24733593</v>
      </c>
      <c r="R214" s="81">
        <f t="shared" si="152"/>
        <v>320.1940546</v>
      </c>
    </row>
    <row r="215">
      <c r="A215" s="12"/>
      <c r="B215" s="80" t="s">
        <v>119</v>
      </c>
      <c r="C215" s="87">
        <v>31.0</v>
      </c>
      <c r="D215" s="86">
        <v>0.5083333333333333</v>
      </c>
      <c r="E215" s="88">
        <v>0.08500831624</v>
      </c>
      <c r="F215" s="89">
        <f t="shared" si="144"/>
        <v>5176.960133</v>
      </c>
      <c r="G215" s="81">
        <v>4991.0</v>
      </c>
      <c r="H215" s="81">
        <f t="shared" si="145"/>
        <v>-185.9601326</v>
      </c>
      <c r="I215" s="25">
        <f t="shared" si="146"/>
        <v>2743.999493</v>
      </c>
      <c r="J215" s="64">
        <f>C215*'Rate Codes'!$D$7</f>
        <v>53.490035</v>
      </c>
      <c r="K215" s="25">
        <f>I215*'Rate Codes'!$D$8</f>
        <v>35.54302544</v>
      </c>
      <c r="L215" s="65">
        <f t="shared" si="147"/>
        <v>89.03306044</v>
      </c>
      <c r="M215" s="66">
        <f>I215*'Rate Codes'!$D$8</f>
        <v>35.54302544</v>
      </c>
      <c r="N215" s="67">
        <f t="shared" si="148"/>
        <v>-61.36684377</v>
      </c>
      <c r="O215" s="25">
        <f t="shared" si="149"/>
        <v>124.5760859</v>
      </c>
      <c r="P215" s="81">
        <f t="shared" si="150"/>
        <v>63.2092421</v>
      </c>
      <c r="Q215" s="25">
        <f t="shared" si="151"/>
        <v>6.228804294</v>
      </c>
      <c r="R215" s="81">
        <f t="shared" si="152"/>
        <v>69.43804639</v>
      </c>
    </row>
    <row r="216">
      <c r="A216" s="12"/>
      <c r="B216" s="80" t="s">
        <v>120</v>
      </c>
      <c r="C216" s="87">
        <v>30.0</v>
      </c>
      <c r="D216" s="86">
        <v>0.425</v>
      </c>
      <c r="E216" s="88">
        <v>0.108773175</v>
      </c>
      <c r="F216" s="89">
        <f t="shared" si="144"/>
        <v>6624.22708</v>
      </c>
      <c r="G216" s="81">
        <v>4952.0</v>
      </c>
      <c r="H216" s="81">
        <f t="shared" si="145"/>
        <v>-1672.22708</v>
      </c>
      <c r="I216" s="25">
        <f t="shared" si="146"/>
        <v>2276.236767</v>
      </c>
      <c r="J216" s="64">
        <f>C216*'Rate Codes'!$D$7</f>
        <v>51.76455</v>
      </c>
      <c r="K216" s="25">
        <f>I216*'Rate Codes'!$D$8</f>
        <v>29.48409485</v>
      </c>
      <c r="L216" s="65">
        <f t="shared" si="147"/>
        <v>81.24864485</v>
      </c>
      <c r="M216" s="66">
        <f>I216*'Rate Codes'!$D$8</f>
        <v>29.48409485</v>
      </c>
      <c r="N216" s="67">
        <f t="shared" si="148"/>
        <v>-551.8349365</v>
      </c>
      <c r="O216" s="25">
        <f t="shared" si="149"/>
        <v>110.7327397</v>
      </c>
      <c r="P216" s="81">
        <f t="shared" si="150"/>
        <v>-441.1021968</v>
      </c>
      <c r="Q216" s="25">
        <f t="shared" si="151"/>
        <v>5.536636985</v>
      </c>
      <c r="R216" s="81">
        <f t="shared" si="152"/>
        <v>-435.5655598</v>
      </c>
    </row>
    <row r="217">
      <c r="A217" s="12"/>
      <c r="B217" s="80" t="s">
        <v>98</v>
      </c>
      <c r="C217" s="87">
        <v>31.0</v>
      </c>
      <c r="D217" s="86">
        <v>0.35277916666666664</v>
      </c>
      <c r="E217" s="88">
        <v>0.1281742617</v>
      </c>
      <c r="F217" s="89">
        <f t="shared" si="144"/>
        <v>7805.742687</v>
      </c>
      <c r="G217" s="81">
        <v>5559.0</v>
      </c>
      <c r="H217" s="81">
        <f t="shared" si="145"/>
        <v>-2246.742687</v>
      </c>
      <c r="I217" s="25">
        <f t="shared" si="146"/>
        <v>2121.033227</v>
      </c>
      <c r="J217" s="64">
        <f>C217*'Rate Codes'!$D$7</f>
        <v>53.490035</v>
      </c>
      <c r="K217" s="25">
        <f>I217*'Rate Codes'!$D$8</f>
        <v>27.47374339</v>
      </c>
      <c r="L217" s="65">
        <f t="shared" si="147"/>
        <v>80.96377839</v>
      </c>
      <c r="M217" s="66">
        <f>I217*'Rate Codes'!$D$8</f>
        <v>27.47374339</v>
      </c>
      <c r="N217" s="67">
        <f t="shared" si="148"/>
        <v>-741.4250868</v>
      </c>
      <c r="O217" s="25">
        <f t="shared" si="149"/>
        <v>108.4375218</v>
      </c>
      <c r="P217" s="81">
        <f t="shared" si="150"/>
        <v>-632.987565</v>
      </c>
      <c r="Q217" s="25">
        <f t="shared" si="151"/>
        <v>5.421876089</v>
      </c>
      <c r="R217" s="81">
        <f t="shared" si="152"/>
        <v>-627.5656889</v>
      </c>
    </row>
    <row r="218">
      <c r="A218" s="12"/>
      <c r="B218" s="80" t="s">
        <v>121</v>
      </c>
      <c r="C218" s="87">
        <v>30.0</v>
      </c>
      <c r="D218" s="86">
        <v>0.31388750000000004</v>
      </c>
      <c r="E218" s="88">
        <v>0.1254860808</v>
      </c>
      <c r="F218" s="89">
        <f t="shared" si="144"/>
        <v>7642.033935</v>
      </c>
      <c r="G218" s="81">
        <v>4964.0</v>
      </c>
      <c r="H218" s="81">
        <f t="shared" si="145"/>
        <v>-2678.033935</v>
      </c>
      <c r="I218" s="25">
        <f t="shared" si="146"/>
        <v>1685.208581</v>
      </c>
      <c r="J218" s="64">
        <f>C218*'Rate Codes'!$D$7</f>
        <v>51.76455</v>
      </c>
      <c r="K218" s="25">
        <f>I218*'Rate Codes'!$D$8</f>
        <v>21.82850675</v>
      </c>
      <c r="L218" s="65">
        <f t="shared" si="147"/>
        <v>73.59305675</v>
      </c>
      <c r="M218" s="66">
        <f>I218*'Rate Codes'!$D$8</f>
        <v>21.82850675</v>
      </c>
      <c r="N218" s="67">
        <f t="shared" si="148"/>
        <v>-883.7511987</v>
      </c>
      <c r="O218" s="25">
        <f t="shared" si="149"/>
        <v>95.4215635</v>
      </c>
      <c r="P218" s="81">
        <f t="shared" si="150"/>
        <v>-788.3296352</v>
      </c>
      <c r="Q218" s="25">
        <f t="shared" si="151"/>
        <v>4.771078175</v>
      </c>
      <c r="R218" s="81">
        <f t="shared" si="152"/>
        <v>-783.558557</v>
      </c>
    </row>
    <row r="219">
      <c r="A219" s="12"/>
      <c r="B219" s="80" t="s">
        <v>122</v>
      </c>
      <c r="C219" s="87">
        <v>31.0</v>
      </c>
      <c r="D219" s="86">
        <v>0.33125</v>
      </c>
      <c r="E219" s="88">
        <v>0.1449493112</v>
      </c>
      <c r="F219" s="89">
        <f t="shared" si="144"/>
        <v>8827.33406</v>
      </c>
      <c r="G219" s="81">
        <v>6634.0</v>
      </c>
      <c r="H219" s="81">
        <f t="shared" si="145"/>
        <v>-2193.33406</v>
      </c>
      <c r="I219" s="25">
        <f t="shared" si="146"/>
        <v>2376.726575</v>
      </c>
      <c r="J219" s="64">
        <f>C219*'Rate Codes'!$D$7</f>
        <v>53.490035</v>
      </c>
      <c r="K219" s="25">
        <f>I219*'Rate Codes'!$D$8</f>
        <v>30.78573932</v>
      </c>
      <c r="L219" s="65">
        <f t="shared" si="147"/>
        <v>84.27577432</v>
      </c>
      <c r="M219" s="66">
        <f>I219*'Rate Codes'!$D$8</f>
        <v>30.78573932</v>
      </c>
      <c r="N219" s="67">
        <f t="shared" si="148"/>
        <v>-723.8002398</v>
      </c>
      <c r="O219" s="25">
        <f t="shared" si="149"/>
        <v>115.0615136</v>
      </c>
      <c r="P219" s="81">
        <f t="shared" si="150"/>
        <v>-608.7387262</v>
      </c>
      <c r="Q219" s="25">
        <f t="shared" si="151"/>
        <v>5.753075682</v>
      </c>
      <c r="R219" s="81">
        <f t="shared" si="152"/>
        <v>-602.9856505</v>
      </c>
    </row>
    <row r="220">
      <c r="A220" s="12"/>
      <c r="B220" s="80" t="s">
        <v>123</v>
      </c>
      <c r="C220" s="87">
        <v>31.0</v>
      </c>
      <c r="D220" s="86">
        <v>0.3951375</v>
      </c>
      <c r="E220" s="88">
        <v>0.1246952409</v>
      </c>
      <c r="F220" s="89">
        <f t="shared" si="144"/>
        <v>7593.872217</v>
      </c>
      <c r="G220" s="81">
        <v>5909.0</v>
      </c>
      <c r="H220" s="81">
        <f t="shared" si="145"/>
        <v>-1684.872217</v>
      </c>
      <c r="I220" s="25">
        <f t="shared" si="146"/>
        <v>2525.283295</v>
      </c>
      <c r="J220" s="64">
        <f>C220*'Rate Codes'!$D$7</f>
        <v>53.490035</v>
      </c>
      <c r="K220" s="25">
        <f>I220*'Rate Codes'!$D$8</f>
        <v>32.70999451</v>
      </c>
      <c r="L220" s="65">
        <f t="shared" si="147"/>
        <v>86.20002951</v>
      </c>
      <c r="M220" s="66">
        <f>I220*'Rate Codes'!$D$8</f>
        <v>32.70999451</v>
      </c>
      <c r="N220" s="67">
        <f t="shared" si="148"/>
        <v>-556.0078315</v>
      </c>
      <c r="O220" s="25">
        <f t="shared" si="149"/>
        <v>118.910024</v>
      </c>
      <c r="P220" s="81">
        <f t="shared" si="150"/>
        <v>-437.0978074</v>
      </c>
      <c r="Q220" s="25">
        <f t="shared" si="151"/>
        <v>5.945501201</v>
      </c>
      <c r="R220" s="81">
        <f t="shared" si="152"/>
        <v>-431.1523062</v>
      </c>
    </row>
    <row r="221">
      <c r="A221" s="12"/>
      <c r="B221" s="80" t="s">
        <v>124</v>
      </c>
      <c r="C221" s="87">
        <v>30.0</v>
      </c>
      <c r="D221" s="86">
        <v>0.4756958333333334</v>
      </c>
      <c r="E221" s="88">
        <v>0.09825803101</v>
      </c>
      <c r="F221" s="89">
        <f t="shared" si="144"/>
        <v>5983.860542</v>
      </c>
      <c r="G221" s="81">
        <v>5270.0</v>
      </c>
      <c r="H221" s="81">
        <f t="shared" si="145"/>
        <v>-713.8605415</v>
      </c>
      <c r="I221" s="25">
        <f t="shared" si="146"/>
        <v>2711.364032</v>
      </c>
      <c r="J221" s="64">
        <f>C221*'Rate Codes'!$D$7</f>
        <v>51.76455</v>
      </c>
      <c r="K221" s="25">
        <f>I221*'Rate Codes'!$D$8</f>
        <v>35.12029831</v>
      </c>
      <c r="L221" s="65">
        <f t="shared" si="147"/>
        <v>86.88484831</v>
      </c>
      <c r="M221" s="66">
        <f>I221*'Rate Codes'!$D$8</f>
        <v>35.12029831</v>
      </c>
      <c r="N221" s="67">
        <f t="shared" si="148"/>
        <v>-235.5739787</v>
      </c>
      <c r="O221" s="25">
        <f t="shared" si="149"/>
        <v>122.0051466</v>
      </c>
      <c r="P221" s="81">
        <f t="shared" si="150"/>
        <v>-113.5688321</v>
      </c>
      <c r="Q221" s="25">
        <f t="shared" si="151"/>
        <v>6.100257331</v>
      </c>
      <c r="R221" s="81">
        <f t="shared" si="152"/>
        <v>-107.4685747</v>
      </c>
    </row>
    <row r="222">
      <c r="A222" s="12"/>
      <c r="B222" s="80" t="s">
        <v>125</v>
      </c>
      <c r="C222" s="87">
        <v>31.0</v>
      </c>
      <c r="D222" s="86">
        <v>0.5590291666666667</v>
      </c>
      <c r="E222" s="88">
        <v>0.06840443866</v>
      </c>
      <c r="F222" s="89">
        <f t="shared" si="144"/>
        <v>4165.793037</v>
      </c>
      <c r="G222" s="81">
        <v>5946.0</v>
      </c>
      <c r="H222" s="81">
        <f t="shared" si="145"/>
        <v>1780.206963</v>
      </c>
      <c r="I222" s="25">
        <f t="shared" si="146"/>
        <v>3595.069082</v>
      </c>
      <c r="J222" s="64">
        <f>C222*'Rate Codes'!$D$7</f>
        <v>53.490035</v>
      </c>
      <c r="K222" s="25">
        <f>I222*'Rate Codes'!$D$8</f>
        <v>46.56692982</v>
      </c>
      <c r="L222" s="65">
        <f t="shared" si="147"/>
        <v>100.0569648</v>
      </c>
      <c r="M222" s="66">
        <f>I222*'Rate Codes'!$D$8</f>
        <v>46.56692982</v>
      </c>
      <c r="N222" s="67">
        <f t="shared" si="148"/>
        <v>122.6562598</v>
      </c>
      <c r="O222" s="25">
        <f t="shared" si="149"/>
        <v>146.6238946</v>
      </c>
      <c r="P222" s="81">
        <f t="shared" si="150"/>
        <v>269.2801544</v>
      </c>
      <c r="Q222" s="25">
        <f t="shared" si="151"/>
        <v>13.46400772</v>
      </c>
      <c r="R222" s="81">
        <f t="shared" si="152"/>
        <v>282.7441622</v>
      </c>
    </row>
    <row r="223">
      <c r="A223" s="12"/>
      <c r="B223" s="80" t="s">
        <v>126</v>
      </c>
      <c r="C223" s="87">
        <v>30.0</v>
      </c>
      <c r="D223" s="86">
        <v>0.63125</v>
      </c>
      <c r="E223" s="88">
        <v>0.0271408052</v>
      </c>
      <c r="F223" s="89">
        <f t="shared" si="144"/>
        <v>1652.860246</v>
      </c>
      <c r="G223" s="81">
        <v>5587.0</v>
      </c>
      <c r="H223" s="81">
        <f t="shared" si="145"/>
        <v>3934.139754</v>
      </c>
      <c r="I223" s="25">
        <f t="shared" si="146"/>
        <v>3814.414903</v>
      </c>
      <c r="J223" s="64">
        <f>C223*'Rate Codes'!$D$7</f>
        <v>51.76455</v>
      </c>
      <c r="K223" s="25">
        <f>I223*'Rate Codes'!$D$8</f>
        <v>49.40811624</v>
      </c>
      <c r="L223" s="65">
        <f t="shared" si="147"/>
        <v>101.1726662</v>
      </c>
      <c r="M223" s="66">
        <f>I223*'Rate Codes'!$D$8</f>
        <v>49.40811624</v>
      </c>
      <c r="N223" s="67">
        <f t="shared" si="148"/>
        <v>271.0622291</v>
      </c>
      <c r="O223" s="25">
        <f t="shared" si="149"/>
        <v>150.5807825</v>
      </c>
      <c r="P223" s="81">
        <f t="shared" si="150"/>
        <v>421.6430115</v>
      </c>
      <c r="Q223" s="25">
        <f t="shared" si="151"/>
        <v>21.08215058</v>
      </c>
      <c r="R223" s="81">
        <f t="shared" si="152"/>
        <v>442.7251621</v>
      </c>
    </row>
    <row r="224">
      <c r="A224" s="12"/>
      <c r="B224" s="80" t="s">
        <v>127</v>
      </c>
      <c r="C224" s="87">
        <v>31.0</v>
      </c>
      <c r="D224" s="86">
        <v>0.6680541666666667</v>
      </c>
      <c r="E224" s="88">
        <v>0.01559005293</v>
      </c>
      <c r="F224" s="89">
        <f t="shared" si="144"/>
        <v>949.4257274</v>
      </c>
      <c r="G224" s="81">
        <v>5490.0</v>
      </c>
      <c r="H224" s="81">
        <f t="shared" si="145"/>
        <v>4540.574273</v>
      </c>
      <c r="I224" s="25">
        <f t="shared" si="146"/>
        <v>3966.723139</v>
      </c>
      <c r="J224" s="64">
        <f>C224*'Rate Codes'!$D$7</f>
        <v>53.490035</v>
      </c>
      <c r="K224" s="25">
        <f>I224*'Rate Codes'!$D$8</f>
        <v>51.38096481</v>
      </c>
      <c r="L224" s="65">
        <f t="shared" si="147"/>
        <v>104.8709998</v>
      </c>
      <c r="M224" s="66">
        <f>I224*'Rate Codes'!$D$8</f>
        <v>51.38096481</v>
      </c>
      <c r="N224" s="67">
        <f t="shared" si="148"/>
        <v>312.8455674</v>
      </c>
      <c r="O224" s="25">
        <f t="shared" si="149"/>
        <v>156.2519646</v>
      </c>
      <c r="P224" s="81">
        <f t="shared" si="150"/>
        <v>469.097532</v>
      </c>
      <c r="Q224" s="25">
        <f t="shared" si="151"/>
        <v>23.4548766</v>
      </c>
      <c r="R224" s="81">
        <f t="shared" si="152"/>
        <v>492.5524086</v>
      </c>
    </row>
    <row r="225">
      <c r="A225" s="12"/>
      <c r="B225" s="77" t="s">
        <v>109</v>
      </c>
      <c r="C225" s="82"/>
      <c r="D225" s="83"/>
      <c r="E225" s="83">
        <f t="shared" ref="E225:N225" si="153">SUM(E213:E224)</f>
        <v>1</v>
      </c>
      <c r="F225" s="84">
        <f t="shared" si="153"/>
        <v>60899.45504</v>
      </c>
      <c r="G225" s="85">
        <f t="shared" si="153"/>
        <v>66307</v>
      </c>
      <c r="H225" s="85">
        <f t="shared" si="153"/>
        <v>5407.544962</v>
      </c>
      <c r="I225" s="48">
        <f t="shared" si="153"/>
        <v>35178.95935</v>
      </c>
      <c r="J225" s="85">
        <f t="shared" si="153"/>
        <v>629.802025</v>
      </c>
      <c r="K225" s="85">
        <f t="shared" si="153"/>
        <v>455.6730604</v>
      </c>
      <c r="L225" s="85">
        <f t="shared" si="153"/>
        <v>1085.475085</v>
      </c>
      <c r="M225" s="85">
        <f t="shared" si="153"/>
        <v>455.6730604</v>
      </c>
      <c r="N225" s="85">
        <f t="shared" si="153"/>
        <v>-2597.440656</v>
      </c>
      <c r="O225" s="48">
        <f t="shared" si="149"/>
        <v>1541.148146</v>
      </c>
      <c r="P225" s="85">
        <f t="shared" ref="P225:R225" si="154">SUM(P213:P224)</f>
        <v>-1056.29251</v>
      </c>
      <c r="Q225" s="85">
        <f t="shared" si="154"/>
        <v>134.8733803</v>
      </c>
      <c r="R225" s="85">
        <f t="shared" si="154"/>
        <v>-921.4191297</v>
      </c>
    </row>
    <row r="227">
      <c r="A227" s="76">
        <v>14.0</v>
      </c>
      <c r="B227" s="12" t="s">
        <v>128</v>
      </c>
      <c r="C227" s="12"/>
      <c r="D227" s="15"/>
      <c r="E227" s="15">
        <f>$E$1* POWER((1 -$H$1),A227)</f>
        <v>60594.95776</v>
      </c>
      <c r="F227" s="1" t="s">
        <v>132</v>
      </c>
      <c r="G227" s="8">
        <f>E227/G241</f>
        <v>0.9138546121</v>
      </c>
      <c r="H227" s="1" t="s">
        <v>133</v>
      </c>
      <c r="I227" s="6">
        <f>1-G227</f>
        <v>0.08614538794</v>
      </c>
      <c r="J227" s="12" t="s">
        <v>74</v>
      </c>
      <c r="M227" s="12" t="s">
        <v>78</v>
      </c>
      <c r="N227" s="12"/>
      <c r="O227" s="12"/>
      <c r="P227" s="12"/>
      <c r="Q227" s="12"/>
      <c r="R227" s="12"/>
    </row>
    <row r="228">
      <c r="A228" s="12"/>
      <c r="B228" s="77" t="s">
        <v>83</v>
      </c>
      <c r="C228" s="78" t="s">
        <v>88</v>
      </c>
      <c r="D228" s="44" t="s">
        <v>87</v>
      </c>
      <c r="E228" s="77" t="s">
        <v>140</v>
      </c>
      <c r="F228" s="77" t="s">
        <v>135</v>
      </c>
      <c r="G228" s="78" t="s">
        <v>89</v>
      </c>
      <c r="H228" s="78" t="s">
        <v>138</v>
      </c>
      <c r="I228" s="20" t="s">
        <v>139</v>
      </c>
      <c r="J228" s="78" t="s">
        <v>76</v>
      </c>
      <c r="K228" s="78" t="s">
        <v>82</v>
      </c>
      <c r="L228" s="78" t="s">
        <v>109</v>
      </c>
      <c r="M228" s="78" t="s">
        <v>80</v>
      </c>
      <c r="N228" s="78" t="s">
        <v>67</v>
      </c>
      <c r="O228" s="45" t="s">
        <v>114</v>
      </c>
      <c r="P228" s="79" t="s">
        <v>115</v>
      </c>
      <c r="Q228" s="79" t="s">
        <v>60</v>
      </c>
      <c r="R228" s="79" t="s">
        <v>109</v>
      </c>
    </row>
    <row r="229">
      <c r="A229" s="12"/>
      <c r="B229" s="80" t="s">
        <v>117</v>
      </c>
      <c r="C229" s="87">
        <v>31.0</v>
      </c>
      <c r="D229" s="86">
        <v>0.6479166666666667</v>
      </c>
      <c r="E229" s="88">
        <v>0.02731296772</v>
      </c>
      <c r="F229" s="89">
        <f t="shared" ref="F229:F240" si="155">$E$227*E229</f>
        <v>1655.028125</v>
      </c>
      <c r="G229" s="81">
        <v>5726.0</v>
      </c>
      <c r="H229" s="81">
        <f t="shared" ref="H229:H240" si="156">G229-F229</f>
        <v>4070.971875</v>
      </c>
      <c r="I229" s="25">
        <f t="shared" ref="I229:I240" si="157">D229*G229*(1+$I$227)</f>
        <v>4029.56771</v>
      </c>
      <c r="J229" s="64">
        <f>C229*'Rate Codes'!$D$7</f>
        <v>53.490035</v>
      </c>
      <c r="K229" s="25">
        <f>I229*'Rate Codes'!$D$8</f>
        <v>52.19499055</v>
      </c>
      <c r="L229" s="65">
        <f t="shared" ref="L229:L240" si="158">SUM(J229:K229)</f>
        <v>105.6850255</v>
      </c>
      <c r="M229" s="66">
        <f>I229*'Rate Codes'!$D$8</f>
        <v>52.19499055</v>
      </c>
      <c r="N229" s="67">
        <f t="shared" ref="N229:N240" si="159">H229*IF(D229&gt;51%,0.0689,0.33)</f>
        <v>280.4899622</v>
      </c>
      <c r="O229" s="25">
        <f t="shared" ref="O229:O241" si="160">L229+M229</f>
        <v>157.8800161</v>
      </c>
      <c r="P229" s="81">
        <f t="shared" ref="P229:P240" si="161">N229+L229+M229</f>
        <v>438.3699783</v>
      </c>
      <c r="Q229" s="25">
        <f t="shared" ref="Q229:Q240" si="162">(IF(N229&gt;0,N229,0)+O229)*0.05</f>
        <v>21.91849891</v>
      </c>
      <c r="R229" s="81">
        <f t="shared" ref="R229:R240" si="163">P229+Q229</f>
        <v>460.2884772</v>
      </c>
    </row>
    <row r="230">
      <c r="A230" s="12"/>
      <c r="B230" s="80" t="s">
        <v>118</v>
      </c>
      <c r="C230" s="87">
        <v>28.0</v>
      </c>
      <c r="D230" s="86">
        <v>0.5868041666666667</v>
      </c>
      <c r="E230" s="88">
        <v>0.04620731865</v>
      </c>
      <c r="F230" s="89">
        <f t="shared" si="155"/>
        <v>2799.930522</v>
      </c>
      <c r="G230" s="81">
        <v>5279.0</v>
      </c>
      <c r="H230" s="81">
        <f t="shared" si="156"/>
        <v>2479.069478</v>
      </c>
      <c r="I230" s="25">
        <f t="shared" si="157"/>
        <v>3364.595141</v>
      </c>
      <c r="J230" s="64">
        <f>C230*'Rate Codes'!$D$7</f>
        <v>48.31358</v>
      </c>
      <c r="K230" s="25">
        <f>I230*'Rate Codes'!$D$8</f>
        <v>43.58160086</v>
      </c>
      <c r="L230" s="65">
        <f t="shared" si="158"/>
        <v>91.89518086</v>
      </c>
      <c r="M230" s="66">
        <f>I230*'Rate Codes'!$D$8</f>
        <v>43.58160086</v>
      </c>
      <c r="N230" s="67">
        <f t="shared" si="159"/>
        <v>170.807887</v>
      </c>
      <c r="O230" s="25">
        <f t="shared" si="160"/>
        <v>135.4767817</v>
      </c>
      <c r="P230" s="81">
        <f t="shared" si="161"/>
        <v>306.2846688</v>
      </c>
      <c r="Q230" s="25">
        <f t="shared" si="162"/>
        <v>15.31423344</v>
      </c>
      <c r="R230" s="81">
        <f t="shared" si="163"/>
        <v>321.5989022</v>
      </c>
    </row>
    <row r="231">
      <c r="A231" s="12"/>
      <c r="B231" s="80" t="s">
        <v>119</v>
      </c>
      <c r="C231" s="87">
        <v>31.0</v>
      </c>
      <c r="D231" s="86">
        <v>0.5083333333333333</v>
      </c>
      <c r="E231" s="88">
        <v>0.08500831624</v>
      </c>
      <c r="F231" s="89">
        <f t="shared" si="155"/>
        <v>5151.075332</v>
      </c>
      <c r="G231" s="81">
        <v>4991.0</v>
      </c>
      <c r="H231" s="81">
        <f t="shared" si="156"/>
        <v>-160.075332</v>
      </c>
      <c r="I231" s="25">
        <f t="shared" si="157"/>
        <v>2755.650413</v>
      </c>
      <c r="J231" s="64">
        <f>C231*'Rate Codes'!$D$7</f>
        <v>53.490035</v>
      </c>
      <c r="K231" s="25">
        <f>I231*'Rate Codes'!$D$8</f>
        <v>35.69393979</v>
      </c>
      <c r="L231" s="65">
        <f t="shared" si="158"/>
        <v>89.18397479</v>
      </c>
      <c r="M231" s="66">
        <f>I231*'Rate Codes'!$D$8</f>
        <v>35.69393979</v>
      </c>
      <c r="N231" s="67">
        <f t="shared" si="159"/>
        <v>-52.82485955</v>
      </c>
      <c r="O231" s="25">
        <f t="shared" si="160"/>
        <v>124.8779146</v>
      </c>
      <c r="P231" s="81">
        <f t="shared" si="161"/>
        <v>72.05305503</v>
      </c>
      <c r="Q231" s="25">
        <f t="shared" si="162"/>
        <v>6.243895729</v>
      </c>
      <c r="R231" s="81">
        <f t="shared" si="163"/>
        <v>78.29695076</v>
      </c>
    </row>
    <row r="232">
      <c r="A232" s="12"/>
      <c r="B232" s="80" t="s">
        <v>120</v>
      </c>
      <c r="C232" s="87">
        <v>30.0</v>
      </c>
      <c r="D232" s="86">
        <v>0.425</v>
      </c>
      <c r="E232" s="88">
        <v>0.108773175</v>
      </c>
      <c r="F232" s="89">
        <f t="shared" si="155"/>
        <v>6591.105945</v>
      </c>
      <c r="G232" s="81">
        <v>4952.0</v>
      </c>
      <c r="H232" s="81">
        <f t="shared" si="156"/>
        <v>-1639.105945</v>
      </c>
      <c r="I232" s="25">
        <f t="shared" si="157"/>
        <v>2285.901583</v>
      </c>
      <c r="J232" s="64">
        <f>C232*'Rate Codes'!$D$7</f>
        <v>51.76455</v>
      </c>
      <c r="K232" s="25">
        <f>I232*'Rate Codes'!$D$8</f>
        <v>29.60928321</v>
      </c>
      <c r="L232" s="65">
        <f t="shared" si="158"/>
        <v>81.37383321</v>
      </c>
      <c r="M232" s="66">
        <f>I232*'Rate Codes'!$D$8</f>
        <v>29.60928321</v>
      </c>
      <c r="N232" s="67">
        <f t="shared" si="159"/>
        <v>-540.9049618</v>
      </c>
      <c r="O232" s="25">
        <f t="shared" si="160"/>
        <v>110.9831164</v>
      </c>
      <c r="P232" s="81">
        <f t="shared" si="161"/>
        <v>-429.9218454</v>
      </c>
      <c r="Q232" s="25">
        <f t="shared" si="162"/>
        <v>5.549155821</v>
      </c>
      <c r="R232" s="81">
        <f t="shared" si="163"/>
        <v>-424.3726895</v>
      </c>
    </row>
    <row r="233">
      <c r="A233" s="12"/>
      <c r="B233" s="80" t="s">
        <v>98</v>
      </c>
      <c r="C233" s="87">
        <v>31.0</v>
      </c>
      <c r="D233" s="86">
        <v>0.35277916666666664</v>
      </c>
      <c r="E233" s="88">
        <v>0.1281742617</v>
      </c>
      <c r="F233" s="89">
        <f t="shared" si="155"/>
        <v>7766.713974</v>
      </c>
      <c r="G233" s="81">
        <v>5559.0</v>
      </c>
      <c r="H233" s="81">
        <f t="shared" si="156"/>
        <v>-2207.713974</v>
      </c>
      <c r="I233" s="25">
        <f t="shared" si="157"/>
        <v>2130.039055</v>
      </c>
      <c r="J233" s="64">
        <f>C233*'Rate Codes'!$D$7</f>
        <v>53.490035</v>
      </c>
      <c r="K233" s="25">
        <f>I233*'Rate Codes'!$D$8</f>
        <v>27.59039588</v>
      </c>
      <c r="L233" s="65">
        <f t="shared" si="158"/>
        <v>81.08043088</v>
      </c>
      <c r="M233" s="66">
        <f>I233*'Rate Codes'!$D$8</f>
        <v>27.59039588</v>
      </c>
      <c r="N233" s="67">
        <f t="shared" si="159"/>
        <v>-728.5456114</v>
      </c>
      <c r="O233" s="25">
        <f t="shared" si="160"/>
        <v>108.6708268</v>
      </c>
      <c r="P233" s="81">
        <f t="shared" si="161"/>
        <v>-619.8747846</v>
      </c>
      <c r="Q233" s="25">
        <f t="shared" si="162"/>
        <v>5.433541338</v>
      </c>
      <c r="R233" s="81">
        <f t="shared" si="163"/>
        <v>-614.4412433</v>
      </c>
    </row>
    <row r="234">
      <c r="A234" s="12"/>
      <c r="B234" s="80" t="s">
        <v>121</v>
      </c>
      <c r="C234" s="87">
        <v>30.0</v>
      </c>
      <c r="D234" s="86">
        <v>0.31388750000000004</v>
      </c>
      <c r="E234" s="88">
        <v>0.1254860808</v>
      </c>
      <c r="F234" s="89">
        <f t="shared" si="155"/>
        <v>7603.823766</v>
      </c>
      <c r="G234" s="81">
        <v>4964.0</v>
      </c>
      <c r="H234" s="81">
        <f t="shared" si="156"/>
        <v>-2639.823766</v>
      </c>
      <c r="I234" s="25">
        <f t="shared" si="157"/>
        <v>1692.363914</v>
      </c>
      <c r="J234" s="64">
        <f>C234*'Rate Codes'!$D$7</f>
        <v>51.76455</v>
      </c>
      <c r="K234" s="25">
        <f>I234*'Rate Codes'!$D$8</f>
        <v>21.92118977</v>
      </c>
      <c r="L234" s="65">
        <f t="shared" si="158"/>
        <v>73.68573977</v>
      </c>
      <c r="M234" s="66">
        <f>I234*'Rate Codes'!$D$8</f>
        <v>21.92118977</v>
      </c>
      <c r="N234" s="67">
        <f t="shared" si="159"/>
        <v>-871.1418427</v>
      </c>
      <c r="O234" s="25">
        <f t="shared" si="160"/>
        <v>95.60692955</v>
      </c>
      <c r="P234" s="81">
        <f t="shared" si="161"/>
        <v>-775.5349132</v>
      </c>
      <c r="Q234" s="25">
        <f t="shared" si="162"/>
        <v>4.780346477</v>
      </c>
      <c r="R234" s="81">
        <f t="shared" si="163"/>
        <v>-770.7545667</v>
      </c>
    </row>
    <row r="235">
      <c r="A235" s="12"/>
      <c r="B235" s="80" t="s">
        <v>122</v>
      </c>
      <c r="C235" s="87">
        <v>31.0</v>
      </c>
      <c r="D235" s="86">
        <v>0.33125</v>
      </c>
      <c r="E235" s="88">
        <v>0.1449493112</v>
      </c>
      <c r="F235" s="89">
        <f t="shared" si="155"/>
        <v>8783.19739</v>
      </c>
      <c r="G235" s="81">
        <v>6634.0</v>
      </c>
      <c r="H235" s="81">
        <f t="shared" si="156"/>
        <v>-2149.19739</v>
      </c>
      <c r="I235" s="25">
        <f t="shared" si="157"/>
        <v>2386.818067</v>
      </c>
      <c r="J235" s="64">
        <f>C235*'Rate Codes'!$D$7</f>
        <v>53.490035</v>
      </c>
      <c r="K235" s="25">
        <f>I235*'Rate Codes'!$D$8</f>
        <v>30.91645442</v>
      </c>
      <c r="L235" s="65">
        <f t="shared" si="158"/>
        <v>84.40648942</v>
      </c>
      <c r="M235" s="66">
        <f>I235*'Rate Codes'!$D$8</f>
        <v>30.91645442</v>
      </c>
      <c r="N235" s="67">
        <f t="shared" si="159"/>
        <v>-709.2351386</v>
      </c>
      <c r="O235" s="25">
        <f t="shared" si="160"/>
        <v>115.3229438</v>
      </c>
      <c r="P235" s="81">
        <f t="shared" si="161"/>
        <v>-593.9121948</v>
      </c>
      <c r="Q235" s="25">
        <f t="shared" si="162"/>
        <v>5.766147192</v>
      </c>
      <c r="R235" s="81">
        <f t="shared" si="163"/>
        <v>-588.1460476</v>
      </c>
    </row>
    <row r="236">
      <c r="A236" s="12"/>
      <c r="B236" s="80" t="s">
        <v>123</v>
      </c>
      <c r="C236" s="87">
        <v>31.0</v>
      </c>
      <c r="D236" s="86">
        <v>0.3951375</v>
      </c>
      <c r="E236" s="88">
        <v>0.1246952409</v>
      </c>
      <c r="F236" s="89">
        <f t="shared" si="155"/>
        <v>7555.902855</v>
      </c>
      <c r="G236" s="81">
        <v>5909.0</v>
      </c>
      <c r="H236" s="81">
        <f t="shared" si="156"/>
        <v>-1646.902855</v>
      </c>
      <c r="I236" s="25">
        <f t="shared" si="157"/>
        <v>2536.005553</v>
      </c>
      <c r="J236" s="64">
        <f>C236*'Rate Codes'!$D$7</f>
        <v>53.490035</v>
      </c>
      <c r="K236" s="25">
        <f>I236*'Rate Codes'!$D$8</f>
        <v>32.84887993</v>
      </c>
      <c r="L236" s="65">
        <f t="shared" si="158"/>
        <v>86.33891493</v>
      </c>
      <c r="M236" s="66">
        <f>I236*'Rate Codes'!$D$8</f>
        <v>32.84887993</v>
      </c>
      <c r="N236" s="67">
        <f t="shared" si="159"/>
        <v>-543.4779423</v>
      </c>
      <c r="O236" s="25">
        <f t="shared" si="160"/>
        <v>119.1877949</v>
      </c>
      <c r="P236" s="81">
        <f t="shared" si="161"/>
        <v>-424.2901474</v>
      </c>
      <c r="Q236" s="25">
        <f t="shared" si="162"/>
        <v>5.959389743</v>
      </c>
      <c r="R236" s="81">
        <f t="shared" si="163"/>
        <v>-418.3307577</v>
      </c>
    </row>
    <row r="237">
      <c r="A237" s="12"/>
      <c r="B237" s="80" t="s">
        <v>124</v>
      </c>
      <c r="C237" s="87">
        <v>30.0</v>
      </c>
      <c r="D237" s="86">
        <v>0.4756958333333334</v>
      </c>
      <c r="E237" s="88">
        <v>0.09825803101</v>
      </c>
      <c r="F237" s="89">
        <f t="shared" si="155"/>
        <v>5953.941239</v>
      </c>
      <c r="G237" s="81">
        <v>5270.0</v>
      </c>
      <c r="H237" s="81">
        <f t="shared" si="156"/>
        <v>-683.9412388</v>
      </c>
      <c r="I237" s="25">
        <f t="shared" si="157"/>
        <v>2722.876383</v>
      </c>
      <c r="J237" s="64">
        <f>C237*'Rate Codes'!$D$7</f>
        <v>51.76455</v>
      </c>
      <c r="K237" s="25">
        <f>I237*'Rate Codes'!$D$8</f>
        <v>35.26941779</v>
      </c>
      <c r="L237" s="65">
        <f t="shared" si="158"/>
        <v>87.03396779</v>
      </c>
      <c r="M237" s="66">
        <f>I237*'Rate Codes'!$D$8</f>
        <v>35.26941779</v>
      </c>
      <c r="N237" s="67">
        <f t="shared" si="159"/>
        <v>-225.7006088</v>
      </c>
      <c r="O237" s="25">
        <f t="shared" si="160"/>
        <v>122.3033856</v>
      </c>
      <c r="P237" s="81">
        <f t="shared" si="161"/>
        <v>-103.3972232</v>
      </c>
      <c r="Q237" s="25">
        <f t="shared" si="162"/>
        <v>6.115169279</v>
      </c>
      <c r="R237" s="81">
        <f t="shared" si="163"/>
        <v>-97.28205396</v>
      </c>
    </row>
    <row r="238">
      <c r="A238" s="12"/>
      <c r="B238" s="80" t="s">
        <v>125</v>
      </c>
      <c r="C238" s="87">
        <v>31.0</v>
      </c>
      <c r="D238" s="86">
        <v>0.5590291666666667</v>
      </c>
      <c r="E238" s="88">
        <v>0.06840443866</v>
      </c>
      <c r="F238" s="89">
        <f t="shared" si="155"/>
        <v>4144.964071</v>
      </c>
      <c r="G238" s="81">
        <v>5946.0</v>
      </c>
      <c r="H238" s="81">
        <f t="shared" si="156"/>
        <v>1801.035929</v>
      </c>
      <c r="I238" s="25">
        <f t="shared" si="157"/>
        <v>3610.333611</v>
      </c>
      <c r="J238" s="64">
        <f>C238*'Rate Codes'!$D$7</f>
        <v>53.490035</v>
      </c>
      <c r="K238" s="25">
        <f>I238*'Rate Codes'!$D$8</f>
        <v>46.76465127</v>
      </c>
      <c r="L238" s="65">
        <f t="shared" si="158"/>
        <v>100.2546863</v>
      </c>
      <c r="M238" s="66">
        <f>I238*'Rate Codes'!$D$8</f>
        <v>46.76465127</v>
      </c>
      <c r="N238" s="67">
        <f t="shared" si="159"/>
        <v>124.0913755</v>
      </c>
      <c r="O238" s="25">
        <f t="shared" si="160"/>
        <v>147.0193375</v>
      </c>
      <c r="P238" s="81">
        <f t="shared" si="161"/>
        <v>271.110713</v>
      </c>
      <c r="Q238" s="25">
        <f t="shared" si="162"/>
        <v>13.55553565</v>
      </c>
      <c r="R238" s="81">
        <f t="shared" si="163"/>
        <v>284.6662487</v>
      </c>
    </row>
    <row r="239">
      <c r="A239" s="12"/>
      <c r="B239" s="80" t="s">
        <v>126</v>
      </c>
      <c r="C239" s="87">
        <v>30.0</v>
      </c>
      <c r="D239" s="86">
        <v>0.63125</v>
      </c>
      <c r="E239" s="88">
        <v>0.0271408052</v>
      </c>
      <c r="F239" s="89">
        <f t="shared" si="155"/>
        <v>1644.595945</v>
      </c>
      <c r="G239" s="81">
        <v>5587.0</v>
      </c>
      <c r="H239" s="81">
        <f t="shared" si="156"/>
        <v>3942.404055</v>
      </c>
      <c r="I239" s="25">
        <f t="shared" si="157"/>
        <v>3830.610766</v>
      </c>
      <c r="J239" s="64">
        <f>C239*'Rate Codes'!$D$7</f>
        <v>51.76455</v>
      </c>
      <c r="K239" s="25">
        <f>I239*'Rate Codes'!$D$8</f>
        <v>49.61790125</v>
      </c>
      <c r="L239" s="65">
        <f t="shared" si="158"/>
        <v>101.3824512</v>
      </c>
      <c r="M239" s="66">
        <f>I239*'Rate Codes'!$D$8</f>
        <v>49.61790125</v>
      </c>
      <c r="N239" s="67">
        <f t="shared" si="159"/>
        <v>271.6316394</v>
      </c>
      <c r="O239" s="25">
        <f t="shared" si="160"/>
        <v>151.0003525</v>
      </c>
      <c r="P239" s="81">
        <f t="shared" si="161"/>
        <v>422.6319919</v>
      </c>
      <c r="Q239" s="25">
        <f t="shared" si="162"/>
        <v>21.1315996</v>
      </c>
      <c r="R239" s="81">
        <f t="shared" si="163"/>
        <v>443.7635915</v>
      </c>
    </row>
    <row r="240">
      <c r="A240" s="12"/>
      <c r="B240" s="80" t="s">
        <v>127</v>
      </c>
      <c r="C240" s="87">
        <v>31.0</v>
      </c>
      <c r="D240" s="86">
        <v>0.6680541666666667</v>
      </c>
      <c r="E240" s="88">
        <v>0.01559005293</v>
      </c>
      <c r="F240" s="89">
        <f t="shared" si="155"/>
        <v>944.6785988</v>
      </c>
      <c r="G240" s="81">
        <v>5490.0</v>
      </c>
      <c r="H240" s="81">
        <f t="shared" si="156"/>
        <v>4545.321401</v>
      </c>
      <c r="I240" s="25">
        <f t="shared" si="157"/>
        <v>3983.565697</v>
      </c>
      <c r="J240" s="64">
        <f>C240*'Rate Codes'!$D$7</f>
        <v>53.490035</v>
      </c>
      <c r="K240" s="25">
        <f>I240*'Rate Codes'!$D$8</f>
        <v>51.59912647</v>
      </c>
      <c r="L240" s="65">
        <f t="shared" si="158"/>
        <v>105.0891615</v>
      </c>
      <c r="M240" s="66">
        <f>I240*'Rate Codes'!$D$8</f>
        <v>51.59912647</v>
      </c>
      <c r="N240" s="67">
        <f t="shared" si="159"/>
        <v>313.1726445</v>
      </c>
      <c r="O240" s="25">
        <f t="shared" si="160"/>
        <v>156.6882879</v>
      </c>
      <c r="P240" s="81">
        <f t="shared" si="161"/>
        <v>469.8609325</v>
      </c>
      <c r="Q240" s="25">
        <f t="shared" si="162"/>
        <v>23.49304662</v>
      </c>
      <c r="R240" s="81">
        <f t="shared" si="163"/>
        <v>493.3539791</v>
      </c>
    </row>
    <row r="241">
      <c r="A241" s="12"/>
      <c r="B241" s="77" t="s">
        <v>109</v>
      </c>
      <c r="C241" s="82"/>
      <c r="D241" s="83"/>
      <c r="E241" s="83">
        <f t="shared" ref="E241:N241" si="164">SUM(E229:E240)</f>
        <v>1</v>
      </c>
      <c r="F241" s="84">
        <f t="shared" si="164"/>
        <v>60594.95776</v>
      </c>
      <c r="G241" s="85">
        <f t="shared" si="164"/>
        <v>66307</v>
      </c>
      <c r="H241" s="85">
        <f t="shared" si="164"/>
        <v>5712.042237</v>
      </c>
      <c r="I241" s="48">
        <f t="shared" si="164"/>
        <v>35328.32789</v>
      </c>
      <c r="J241" s="85">
        <f t="shared" si="164"/>
        <v>629.802025</v>
      </c>
      <c r="K241" s="85">
        <f t="shared" si="164"/>
        <v>457.6078312</v>
      </c>
      <c r="L241" s="85">
        <f t="shared" si="164"/>
        <v>1087.409856</v>
      </c>
      <c r="M241" s="85">
        <f t="shared" si="164"/>
        <v>457.6078312</v>
      </c>
      <c r="N241" s="85">
        <f t="shared" si="164"/>
        <v>-2511.637457</v>
      </c>
      <c r="O241" s="48">
        <f t="shared" si="160"/>
        <v>1545.017687</v>
      </c>
      <c r="P241" s="85">
        <f t="shared" ref="P241:R241" si="165">SUM(P229:P240)</f>
        <v>-966.6197692</v>
      </c>
      <c r="Q241" s="85">
        <f t="shared" si="165"/>
        <v>135.2605598</v>
      </c>
      <c r="R241" s="85">
        <f t="shared" si="165"/>
        <v>-831.3592094</v>
      </c>
    </row>
    <row r="243">
      <c r="A243" s="76">
        <v>15.0</v>
      </c>
      <c r="B243" s="12" t="s">
        <v>128</v>
      </c>
      <c r="C243" s="12"/>
      <c r="D243" s="15"/>
      <c r="E243" s="15">
        <f>$E$1* POWER((1 -$H$1),A243)</f>
        <v>60291.98297</v>
      </c>
      <c r="F243" s="1" t="s">
        <v>132</v>
      </c>
      <c r="G243" s="8">
        <f>E243/G257</f>
        <v>0.909285339</v>
      </c>
      <c r="H243" s="1" t="s">
        <v>133</v>
      </c>
      <c r="I243" s="6">
        <f>1-G243</f>
        <v>0.090714661</v>
      </c>
      <c r="J243" s="12" t="s">
        <v>74</v>
      </c>
      <c r="M243" s="12" t="s">
        <v>78</v>
      </c>
      <c r="N243" s="12"/>
      <c r="O243" s="12"/>
      <c r="P243" s="12"/>
      <c r="Q243" s="12"/>
      <c r="R243" s="12"/>
    </row>
    <row r="244">
      <c r="A244" s="12"/>
      <c r="B244" s="77" t="s">
        <v>83</v>
      </c>
      <c r="C244" s="78" t="s">
        <v>88</v>
      </c>
      <c r="D244" s="44" t="s">
        <v>87</v>
      </c>
      <c r="E244" s="77" t="s">
        <v>140</v>
      </c>
      <c r="F244" s="77" t="s">
        <v>135</v>
      </c>
      <c r="G244" s="78" t="s">
        <v>89</v>
      </c>
      <c r="H244" s="78" t="s">
        <v>138</v>
      </c>
      <c r="I244" s="20" t="s">
        <v>139</v>
      </c>
      <c r="J244" s="78" t="s">
        <v>76</v>
      </c>
      <c r="K244" s="78" t="s">
        <v>82</v>
      </c>
      <c r="L244" s="78" t="s">
        <v>109</v>
      </c>
      <c r="M244" s="78" t="s">
        <v>80</v>
      </c>
      <c r="N244" s="78" t="s">
        <v>67</v>
      </c>
      <c r="O244" s="45" t="s">
        <v>114</v>
      </c>
      <c r="P244" s="79" t="s">
        <v>115</v>
      </c>
      <c r="Q244" s="79" t="s">
        <v>60</v>
      </c>
      <c r="R244" s="79" t="s">
        <v>109</v>
      </c>
    </row>
    <row r="245">
      <c r="A245" s="12"/>
      <c r="B245" s="80" t="s">
        <v>117</v>
      </c>
      <c r="C245" s="87">
        <v>31.0</v>
      </c>
      <c r="D245" s="86">
        <v>0.6479166666666667</v>
      </c>
      <c r="E245" s="88">
        <v>0.02731296772</v>
      </c>
      <c r="F245" s="89">
        <f t="shared" ref="F245:F256" si="166">$E$243*E245</f>
        <v>1646.752985</v>
      </c>
      <c r="G245" s="81">
        <v>5726.0</v>
      </c>
      <c r="H245" s="81">
        <f t="shared" ref="H245:H256" si="167">G245-F245</f>
        <v>4079.247015</v>
      </c>
      <c r="I245" s="25">
        <f t="shared" ref="I245:I256" si="168">D245*G245*(1+$I$243)</f>
        <v>4046.51958</v>
      </c>
      <c r="J245" s="64">
        <f>C245*'Rate Codes'!$D$7</f>
        <v>53.490035</v>
      </c>
      <c r="K245" s="25">
        <f>I245*'Rate Codes'!$D$8</f>
        <v>52.41456812</v>
      </c>
      <c r="L245" s="65">
        <f t="shared" ref="L245:L256" si="169">SUM(J245:K245)</f>
        <v>105.9046031</v>
      </c>
      <c r="M245" s="66">
        <f>I245*'Rate Codes'!$D$8</f>
        <v>52.41456812</v>
      </c>
      <c r="N245" s="67">
        <f t="shared" ref="N245:N256" si="170">H245*IF(D245&gt;51%,0.0689,0.33)</f>
        <v>281.0601194</v>
      </c>
      <c r="O245" s="25">
        <f t="shared" ref="O245:O257" si="171">L245+M245</f>
        <v>158.3191712</v>
      </c>
      <c r="P245" s="81">
        <f t="shared" ref="P245:P256" si="172">N245+L245+M245</f>
        <v>439.3792906</v>
      </c>
      <c r="Q245" s="25">
        <f t="shared" ref="Q245:Q256" si="173">(IF(N245&gt;0,N245,0)+O245)*0.05</f>
        <v>21.96896453</v>
      </c>
      <c r="R245" s="81">
        <f t="shared" ref="R245:R256" si="174">P245+Q245</f>
        <v>461.3482551</v>
      </c>
    </row>
    <row r="246">
      <c r="A246" s="12"/>
      <c r="B246" s="80" t="s">
        <v>118</v>
      </c>
      <c r="C246" s="87">
        <v>28.0</v>
      </c>
      <c r="D246" s="86">
        <v>0.5868041666666667</v>
      </c>
      <c r="E246" s="88">
        <v>0.04620731865</v>
      </c>
      <c r="F246" s="89">
        <f t="shared" si="166"/>
        <v>2785.930869</v>
      </c>
      <c r="G246" s="81">
        <v>5279.0</v>
      </c>
      <c r="H246" s="81">
        <f t="shared" si="167"/>
        <v>2493.069131</v>
      </c>
      <c r="I246" s="25">
        <f t="shared" si="168"/>
        <v>3378.749557</v>
      </c>
      <c r="J246" s="64">
        <f>C246*'Rate Codes'!$D$7</f>
        <v>48.31358</v>
      </c>
      <c r="K246" s="25">
        <f>I246*'Rate Codes'!$D$8</f>
        <v>43.76494301</v>
      </c>
      <c r="L246" s="65">
        <f t="shared" si="169"/>
        <v>92.07852301</v>
      </c>
      <c r="M246" s="66">
        <f>I246*'Rate Codes'!$D$8</f>
        <v>43.76494301</v>
      </c>
      <c r="N246" s="67">
        <f t="shared" si="170"/>
        <v>171.7724631</v>
      </c>
      <c r="O246" s="25">
        <f t="shared" si="171"/>
        <v>135.843466</v>
      </c>
      <c r="P246" s="81">
        <f t="shared" si="172"/>
        <v>307.6159291</v>
      </c>
      <c r="Q246" s="25">
        <f t="shared" si="173"/>
        <v>15.38079646</v>
      </c>
      <c r="R246" s="81">
        <f t="shared" si="174"/>
        <v>322.9967256</v>
      </c>
    </row>
    <row r="247">
      <c r="A247" s="12"/>
      <c r="B247" s="80" t="s">
        <v>119</v>
      </c>
      <c r="C247" s="87">
        <v>31.0</v>
      </c>
      <c r="D247" s="86">
        <v>0.5083333333333333</v>
      </c>
      <c r="E247" s="88">
        <v>0.08500831624</v>
      </c>
      <c r="F247" s="89">
        <f t="shared" si="166"/>
        <v>5125.319955</v>
      </c>
      <c r="G247" s="81">
        <v>4991.0</v>
      </c>
      <c r="H247" s="81">
        <f t="shared" si="167"/>
        <v>-134.3199553</v>
      </c>
      <c r="I247" s="25">
        <f t="shared" si="168"/>
        <v>2767.243077</v>
      </c>
      <c r="J247" s="64">
        <f>C247*'Rate Codes'!$D$7</f>
        <v>53.490035</v>
      </c>
      <c r="K247" s="25">
        <f>I247*'Rate Codes'!$D$8</f>
        <v>35.84409958</v>
      </c>
      <c r="L247" s="65">
        <f t="shared" si="169"/>
        <v>89.33413458</v>
      </c>
      <c r="M247" s="66">
        <f>I247*'Rate Codes'!$D$8</f>
        <v>35.84409958</v>
      </c>
      <c r="N247" s="67">
        <f t="shared" si="170"/>
        <v>-44.32558526</v>
      </c>
      <c r="O247" s="25">
        <f t="shared" si="171"/>
        <v>125.1782342</v>
      </c>
      <c r="P247" s="81">
        <f t="shared" si="172"/>
        <v>80.8526489</v>
      </c>
      <c r="Q247" s="25">
        <f t="shared" si="173"/>
        <v>6.258911708</v>
      </c>
      <c r="R247" s="81">
        <f t="shared" si="174"/>
        <v>87.11156061</v>
      </c>
    </row>
    <row r="248">
      <c r="A248" s="12"/>
      <c r="B248" s="80" t="s">
        <v>120</v>
      </c>
      <c r="C248" s="87">
        <v>30.0</v>
      </c>
      <c r="D248" s="86">
        <v>0.425</v>
      </c>
      <c r="E248" s="88">
        <v>0.108773175</v>
      </c>
      <c r="F248" s="89">
        <f t="shared" si="166"/>
        <v>6558.150415</v>
      </c>
      <c r="G248" s="81">
        <v>4952.0</v>
      </c>
      <c r="H248" s="81">
        <f t="shared" si="167"/>
        <v>-1606.150415</v>
      </c>
      <c r="I248" s="25">
        <f t="shared" si="168"/>
        <v>2295.518076</v>
      </c>
      <c r="J248" s="64">
        <f>C248*'Rate Codes'!$D$7</f>
        <v>51.76455</v>
      </c>
      <c r="K248" s="25">
        <f>I248*'Rate Codes'!$D$8</f>
        <v>29.73384563</v>
      </c>
      <c r="L248" s="65">
        <f t="shared" si="169"/>
        <v>81.49839563</v>
      </c>
      <c r="M248" s="66">
        <f>I248*'Rate Codes'!$D$8</f>
        <v>29.73384563</v>
      </c>
      <c r="N248" s="67">
        <f t="shared" si="170"/>
        <v>-530.029637</v>
      </c>
      <c r="O248" s="25">
        <f t="shared" si="171"/>
        <v>111.2322413</v>
      </c>
      <c r="P248" s="81">
        <f t="shared" si="172"/>
        <v>-418.7973957</v>
      </c>
      <c r="Q248" s="25">
        <f t="shared" si="173"/>
        <v>5.561612063</v>
      </c>
      <c r="R248" s="81">
        <f t="shared" si="174"/>
        <v>-413.2357836</v>
      </c>
    </row>
    <row r="249">
      <c r="A249" s="12"/>
      <c r="B249" s="80" t="s">
        <v>98</v>
      </c>
      <c r="C249" s="87">
        <v>31.0</v>
      </c>
      <c r="D249" s="86">
        <v>0.35277916666666664</v>
      </c>
      <c r="E249" s="88">
        <v>0.1281742617</v>
      </c>
      <c r="F249" s="89">
        <f t="shared" si="166"/>
        <v>7727.880404</v>
      </c>
      <c r="G249" s="81">
        <v>5559.0</v>
      </c>
      <c r="H249" s="81">
        <f t="shared" si="167"/>
        <v>-2168.880404</v>
      </c>
      <c r="I249" s="25">
        <f t="shared" si="168"/>
        <v>2138.999854</v>
      </c>
      <c r="J249" s="64">
        <f>C249*'Rate Codes'!$D$7</f>
        <v>53.490035</v>
      </c>
      <c r="K249" s="25">
        <f>I249*'Rate Codes'!$D$8</f>
        <v>27.7064651</v>
      </c>
      <c r="L249" s="65">
        <f t="shared" si="169"/>
        <v>81.1965001</v>
      </c>
      <c r="M249" s="66">
        <f>I249*'Rate Codes'!$D$8</f>
        <v>27.7064651</v>
      </c>
      <c r="N249" s="67">
        <f t="shared" si="170"/>
        <v>-715.7305333</v>
      </c>
      <c r="O249" s="25">
        <f t="shared" si="171"/>
        <v>108.9029652</v>
      </c>
      <c r="P249" s="81">
        <f t="shared" si="172"/>
        <v>-606.8275681</v>
      </c>
      <c r="Q249" s="25">
        <f t="shared" si="173"/>
        <v>5.44514826</v>
      </c>
      <c r="R249" s="81">
        <f t="shared" si="174"/>
        <v>-601.3824199</v>
      </c>
    </row>
    <row r="250">
      <c r="A250" s="12"/>
      <c r="B250" s="80" t="s">
        <v>121</v>
      </c>
      <c r="C250" s="87">
        <v>30.0</v>
      </c>
      <c r="D250" s="86">
        <v>0.31388750000000004</v>
      </c>
      <c r="E250" s="88">
        <v>0.1254860808</v>
      </c>
      <c r="F250" s="89">
        <f t="shared" si="166"/>
        <v>7565.804647</v>
      </c>
      <c r="G250" s="81">
        <v>4964.0</v>
      </c>
      <c r="H250" s="81">
        <f t="shared" si="167"/>
        <v>-2601.804647</v>
      </c>
      <c r="I250" s="25">
        <f t="shared" si="168"/>
        <v>1699.48347</v>
      </c>
      <c r="J250" s="64">
        <f>C250*'Rate Codes'!$D$7</f>
        <v>51.76455</v>
      </c>
      <c r="K250" s="25">
        <f>I250*'Rate Codes'!$D$8</f>
        <v>22.01340938</v>
      </c>
      <c r="L250" s="65">
        <f t="shared" si="169"/>
        <v>73.77795938</v>
      </c>
      <c r="M250" s="66">
        <f>I250*'Rate Codes'!$D$8</f>
        <v>22.01340938</v>
      </c>
      <c r="N250" s="67">
        <f t="shared" si="170"/>
        <v>-858.5955335</v>
      </c>
      <c r="O250" s="25">
        <f t="shared" si="171"/>
        <v>95.79136876</v>
      </c>
      <c r="P250" s="81">
        <f t="shared" si="172"/>
        <v>-762.8041647</v>
      </c>
      <c r="Q250" s="25">
        <f t="shared" si="173"/>
        <v>4.789568438</v>
      </c>
      <c r="R250" s="81">
        <f t="shared" si="174"/>
        <v>-758.0145963</v>
      </c>
    </row>
    <row r="251">
      <c r="A251" s="12"/>
      <c r="B251" s="80" t="s">
        <v>122</v>
      </c>
      <c r="C251" s="87">
        <v>31.0</v>
      </c>
      <c r="D251" s="86">
        <v>0.33125</v>
      </c>
      <c r="E251" s="88">
        <v>0.1449493112</v>
      </c>
      <c r="F251" s="89">
        <f t="shared" si="166"/>
        <v>8739.281403</v>
      </c>
      <c r="G251" s="81">
        <v>6634.0</v>
      </c>
      <c r="H251" s="81">
        <f t="shared" si="167"/>
        <v>-2105.281403</v>
      </c>
      <c r="I251" s="25">
        <f t="shared" si="168"/>
        <v>2396.859101</v>
      </c>
      <c r="J251" s="64">
        <f>C251*'Rate Codes'!$D$7</f>
        <v>53.490035</v>
      </c>
      <c r="K251" s="25">
        <f>I251*'Rate Codes'!$D$8</f>
        <v>31.04651594</v>
      </c>
      <c r="L251" s="65">
        <f t="shared" si="169"/>
        <v>84.53655094</v>
      </c>
      <c r="M251" s="66">
        <f>I251*'Rate Codes'!$D$8</f>
        <v>31.04651594</v>
      </c>
      <c r="N251" s="67">
        <f t="shared" si="170"/>
        <v>-694.7428629</v>
      </c>
      <c r="O251" s="25">
        <f t="shared" si="171"/>
        <v>115.5830669</v>
      </c>
      <c r="P251" s="81">
        <f t="shared" si="172"/>
        <v>-579.1597961</v>
      </c>
      <c r="Q251" s="25">
        <f t="shared" si="173"/>
        <v>5.779153344</v>
      </c>
      <c r="R251" s="81">
        <f t="shared" si="174"/>
        <v>-573.3806427</v>
      </c>
    </row>
    <row r="252">
      <c r="A252" s="12"/>
      <c r="B252" s="80" t="s">
        <v>123</v>
      </c>
      <c r="C252" s="87">
        <v>31.0</v>
      </c>
      <c r="D252" s="86">
        <v>0.3951375</v>
      </c>
      <c r="E252" s="88">
        <v>0.1246952409</v>
      </c>
      <c r="F252" s="89">
        <f t="shared" si="166"/>
        <v>7518.123341</v>
      </c>
      <c r="G252" s="81">
        <v>5909.0</v>
      </c>
      <c r="H252" s="81">
        <f t="shared" si="167"/>
        <v>-1609.123341</v>
      </c>
      <c r="I252" s="25">
        <f t="shared" si="168"/>
        <v>2546.6742</v>
      </c>
      <c r="J252" s="64">
        <f>C252*'Rate Codes'!$D$7</f>
        <v>53.490035</v>
      </c>
      <c r="K252" s="25">
        <f>I252*'Rate Codes'!$D$8</f>
        <v>32.98707091</v>
      </c>
      <c r="L252" s="65">
        <f t="shared" si="169"/>
        <v>86.47710591</v>
      </c>
      <c r="M252" s="66">
        <f>I252*'Rate Codes'!$D$8</f>
        <v>32.98707091</v>
      </c>
      <c r="N252" s="67">
        <f t="shared" si="170"/>
        <v>-531.0107026</v>
      </c>
      <c r="O252" s="25">
        <f t="shared" si="171"/>
        <v>119.4641768</v>
      </c>
      <c r="P252" s="81">
        <f t="shared" si="172"/>
        <v>-411.5465258</v>
      </c>
      <c r="Q252" s="25">
        <f t="shared" si="173"/>
        <v>5.973208841</v>
      </c>
      <c r="R252" s="81">
        <f t="shared" si="174"/>
        <v>-405.5733169</v>
      </c>
    </row>
    <row r="253">
      <c r="A253" s="12"/>
      <c r="B253" s="80" t="s">
        <v>124</v>
      </c>
      <c r="C253" s="87">
        <v>30.0</v>
      </c>
      <c r="D253" s="86">
        <v>0.4756958333333334</v>
      </c>
      <c r="E253" s="88">
        <v>0.09825803101</v>
      </c>
      <c r="F253" s="89">
        <f t="shared" si="166"/>
        <v>5924.171533</v>
      </c>
      <c r="G253" s="81">
        <v>5270.0</v>
      </c>
      <c r="H253" s="81">
        <f t="shared" si="167"/>
        <v>-654.1715326</v>
      </c>
      <c r="I253" s="25">
        <f t="shared" si="168"/>
        <v>2734.331171</v>
      </c>
      <c r="J253" s="64">
        <f>C253*'Rate Codes'!$D$7</f>
        <v>51.76455</v>
      </c>
      <c r="K253" s="25">
        <f>I253*'Rate Codes'!$D$8</f>
        <v>35.41779166</v>
      </c>
      <c r="L253" s="65">
        <f t="shared" si="169"/>
        <v>87.18234166</v>
      </c>
      <c r="M253" s="66">
        <f>I253*'Rate Codes'!$D$8</f>
        <v>35.41779166</v>
      </c>
      <c r="N253" s="67">
        <f t="shared" si="170"/>
        <v>-215.8766058</v>
      </c>
      <c r="O253" s="25">
        <f t="shared" si="171"/>
        <v>122.6001333</v>
      </c>
      <c r="P253" s="81">
        <f t="shared" si="172"/>
        <v>-93.27647245</v>
      </c>
      <c r="Q253" s="25">
        <f t="shared" si="173"/>
        <v>6.130006666</v>
      </c>
      <c r="R253" s="81">
        <f t="shared" si="174"/>
        <v>-87.14646578</v>
      </c>
    </row>
    <row r="254">
      <c r="A254" s="12"/>
      <c r="B254" s="80" t="s">
        <v>125</v>
      </c>
      <c r="C254" s="87">
        <v>31.0</v>
      </c>
      <c r="D254" s="86">
        <v>0.5590291666666667</v>
      </c>
      <c r="E254" s="88">
        <v>0.06840443866</v>
      </c>
      <c r="F254" s="89">
        <f t="shared" si="166"/>
        <v>4124.239251</v>
      </c>
      <c r="G254" s="81">
        <v>5946.0</v>
      </c>
      <c r="H254" s="81">
        <f t="shared" si="167"/>
        <v>1821.760749</v>
      </c>
      <c r="I254" s="25">
        <f t="shared" si="168"/>
        <v>3625.521817</v>
      </c>
      <c r="J254" s="64">
        <f>C254*'Rate Codes'!$D$7</f>
        <v>53.490035</v>
      </c>
      <c r="K254" s="25">
        <f>I254*'Rate Codes'!$D$8</f>
        <v>46.9613841</v>
      </c>
      <c r="L254" s="65">
        <f t="shared" si="169"/>
        <v>100.4514191</v>
      </c>
      <c r="M254" s="66">
        <f>I254*'Rate Codes'!$D$8</f>
        <v>46.9613841</v>
      </c>
      <c r="N254" s="67">
        <f t="shared" si="170"/>
        <v>125.5193156</v>
      </c>
      <c r="O254" s="25">
        <f t="shared" si="171"/>
        <v>147.4128032</v>
      </c>
      <c r="P254" s="81">
        <f t="shared" si="172"/>
        <v>272.9321188</v>
      </c>
      <c r="Q254" s="25">
        <f t="shared" si="173"/>
        <v>13.64660594</v>
      </c>
      <c r="R254" s="81">
        <f t="shared" si="174"/>
        <v>286.5787248</v>
      </c>
    </row>
    <row r="255">
      <c r="A255" s="12"/>
      <c r="B255" s="80" t="s">
        <v>126</v>
      </c>
      <c r="C255" s="87">
        <v>30.0</v>
      </c>
      <c r="D255" s="86">
        <v>0.63125</v>
      </c>
      <c r="E255" s="88">
        <v>0.0271408052</v>
      </c>
      <c r="F255" s="89">
        <f t="shared" si="166"/>
        <v>1636.372965</v>
      </c>
      <c r="G255" s="81">
        <v>5587.0</v>
      </c>
      <c r="H255" s="81">
        <f t="shared" si="167"/>
        <v>3950.627035</v>
      </c>
      <c r="I255" s="25">
        <f t="shared" si="168"/>
        <v>3846.725649</v>
      </c>
      <c r="J255" s="64">
        <f>C255*'Rate Codes'!$D$7</f>
        <v>51.76455</v>
      </c>
      <c r="K255" s="25">
        <f>I255*'Rate Codes'!$D$8</f>
        <v>49.82663734</v>
      </c>
      <c r="L255" s="65">
        <f t="shared" si="169"/>
        <v>101.5911873</v>
      </c>
      <c r="M255" s="66">
        <f>I255*'Rate Codes'!$D$8</f>
        <v>49.82663734</v>
      </c>
      <c r="N255" s="67">
        <f t="shared" si="170"/>
        <v>272.1982027</v>
      </c>
      <c r="O255" s="25">
        <f t="shared" si="171"/>
        <v>151.4178247</v>
      </c>
      <c r="P255" s="81">
        <f t="shared" si="172"/>
        <v>423.6160274</v>
      </c>
      <c r="Q255" s="25">
        <f t="shared" si="173"/>
        <v>21.18080137</v>
      </c>
      <c r="R255" s="81">
        <f t="shared" si="174"/>
        <v>444.7968288</v>
      </c>
    </row>
    <row r="256">
      <c r="A256" s="12"/>
      <c r="B256" s="80" t="s">
        <v>127</v>
      </c>
      <c r="C256" s="87">
        <v>31.0</v>
      </c>
      <c r="D256" s="86">
        <v>0.6680541666666667</v>
      </c>
      <c r="E256" s="88">
        <v>0.01559005293</v>
      </c>
      <c r="F256" s="89">
        <f t="shared" si="166"/>
        <v>939.9552058</v>
      </c>
      <c r="G256" s="81">
        <v>5490.0</v>
      </c>
      <c r="H256" s="81">
        <f t="shared" si="167"/>
        <v>4550.044794</v>
      </c>
      <c r="I256" s="25">
        <f t="shared" si="168"/>
        <v>4000.324042</v>
      </c>
      <c r="J256" s="64">
        <f>C256*'Rate Codes'!$D$7</f>
        <v>53.490035</v>
      </c>
      <c r="K256" s="25">
        <f>I256*'Rate Codes'!$D$8</f>
        <v>51.81619731</v>
      </c>
      <c r="L256" s="65">
        <f t="shared" si="169"/>
        <v>105.3062323</v>
      </c>
      <c r="M256" s="66">
        <f>I256*'Rate Codes'!$D$8</f>
        <v>51.81619731</v>
      </c>
      <c r="N256" s="67">
        <f t="shared" si="170"/>
        <v>313.4980863</v>
      </c>
      <c r="O256" s="25">
        <f t="shared" si="171"/>
        <v>157.1224296</v>
      </c>
      <c r="P256" s="81">
        <f t="shared" si="172"/>
        <v>470.6205159</v>
      </c>
      <c r="Q256" s="25">
        <f t="shared" si="173"/>
        <v>23.5310258</v>
      </c>
      <c r="R256" s="81">
        <f t="shared" si="174"/>
        <v>494.1515417</v>
      </c>
    </row>
    <row r="257">
      <c r="A257" s="12"/>
      <c r="B257" s="77" t="s">
        <v>109</v>
      </c>
      <c r="C257" s="82"/>
      <c r="D257" s="83"/>
      <c r="E257" s="83">
        <f t="shared" ref="E257:N257" si="175">SUM(E245:E256)</f>
        <v>1</v>
      </c>
      <c r="F257" s="84">
        <f t="shared" si="175"/>
        <v>60291.98297</v>
      </c>
      <c r="G257" s="85">
        <f t="shared" si="175"/>
        <v>66307</v>
      </c>
      <c r="H257" s="85">
        <f t="shared" si="175"/>
        <v>6015.017026</v>
      </c>
      <c r="I257" s="48">
        <f t="shared" si="175"/>
        <v>35476.94959</v>
      </c>
      <c r="J257" s="85">
        <f t="shared" si="175"/>
        <v>629.802025</v>
      </c>
      <c r="K257" s="85">
        <f t="shared" si="175"/>
        <v>459.5329281</v>
      </c>
      <c r="L257" s="85">
        <f t="shared" si="175"/>
        <v>1089.334953</v>
      </c>
      <c r="M257" s="85">
        <f t="shared" si="175"/>
        <v>459.5329281</v>
      </c>
      <c r="N257" s="85">
        <f t="shared" si="175"/>
        <v>-2426.263273</v>
      </c>
      <c r="O257" s="48">
        <f t="shared" si="171"/>
        <v>1548.867881</v>
      </c>
      <c r="P257" s="85">
        <f t="shared" ref="P257:R257" si="176">SUM(P245:P256)</f>
        <v>-877.3953921</v>
      </c>
      <c r="Q257" s="85">
        <f t="shared" si="176"/>
        <v>135.6458034</v>
      </c>
      <c r="R257" s="85">
        <f t="shared" si="176"/>
        <v>-741.7495886</v>
      </c>
    </row>
    <row r="259">
      <c r="A259" s="76">
        <v>16.0</v>
      </c>
      <c r="B259" s="12" t="s">
        <v>128</v>
      </c>
      <c r="C259" s="12"/>
      <c r="D259" s="15"/>
      <c r="E259" s="15">
        <f>$E$1* POWER((1 -$H$1),A259)</f>
        <v>59990.52306</v>
      </c>
      <c r="F259" s="1" t="s">
        <v>132</v>
      </c>
      <c r="G259" s="8">
        <f>E259/G273</f>
        <v>0.9047389123</v>
      </c>
      <c r="H259" s="1" t="s">
        <v>133</v>
      </c>
      <c r="I259" s="6">
        <f>1-G259</f>
        <v>0.09526108769</v>
      </c>
      <c r="J259" s="12" t="s">
        <v>74</v>
      </c>
      <c r="M259" s="12" t="s">
        <v>78</v>
      </c>
      <c r="N259" s="12"/>
      <c r="O259" s="12"/>
      <c r="P259" s="12"/>
      <c r="Q259" s="12"/>
      <c r="R259" s="12"/>
    </row>
    <row r="260">
      <c r="A260" s="12"/>
      <c r="B260" s="77" t="s">
        <v>83</v>
      </c>
      <c r="C260" s="78" t="s">
        <v>88</v>
      </c>
      <c r="D260" s="44" t="s">
        <v>87</v>
      </c>
      <c r="E260" s="77" t="s">
        <v>140</v>
      </c>
      <c r="F260" s="77" t="s">
        <v>135</v>
      </c>
      <c r="G260" s="78" t="s">
        <v>89</v>
      </c>
      <c r="H260" s="78" t="s">
        <v>138</v>
      </c>
      <c r="I260" s="20" t="s">
        <v>139</v>
      </c>
      <c r="J260" s="78" t="s">
        <v>76</v>
      </c>
      <c r="K260" s="78" t="s">
        <v>82</v>
      </c>
      <c r="L260" s="78" t="s">
        <v>109</v>
      </c>
      <c r="M260" s="78" t="s">
        <v>80</v>
      </c>
      <c r="N260" s="78" t="s">
        <v>67</v>
      </c>
      <c r="O260" s="45" t="s">
        <v>114</v>
      </c>
      <c r="P260" s="79" t="s">
        <v>115</v>
      </c>
      <c r="Q260" s="79" t="s">
        <v>60</v>
      </c>
      <c r="R260" s="79" t="s">
        <v>109</v>
      </c>
    </row>
    <row r="261">
      <c r="A261" s="12"/>
      <c r="B261" s="80" t="s">
        <v>117</v>
      </c>
      <c r="C261" s="87">
        <v>31.0</v>
      </c>
      <c r="D261" s="86">
        <v>0.6479166666666667</v>
      </c>
      <c r="E261" s="88">
        <v>0.02731296772</v>
      </c>
      <c r="F261" s="89">
        <f t="shared" ref="F261:F272" si="177">$E$259*E261</f>
        <v>1638.51922</v>
      </c>
      <c r="G261" s="81">
        <v>5726.0</v>
      </c>
      <c r="H261" s="81">
        <f t="shared" ref="H261:H272" si="178">G261-F261</f>
        <v>4087.48078</v>
      </c>
      <c r="I261" s="25">
        <f t="shared" ref="I261:I272" si="179">D261*G261*(1+$I$259)</f>
        <v>4063.38669</v>
      </c>
      <c r="J261" s="64">
        <f>C261*'Rate Codes'!$D$7</f>
        <v>53.490035</v>
      </c>
      <c r="K261" s="25">
        <f>I261*'Rate Codes'!$D$8</f>
        <v>52.6330478</v>
      </c>
      <c r="L261" s="65">
        <f t="shared" ref="L261:L272" si="180">SUM(J261:K261)</f>
        <v>106.1230828</v>
      </c>
      <c r="M261" s="66">
        <f>I261*'Rate Codes'!$D$8</f>
        <v>52.6330478</v>
      </c>
      <c r="N261" s="67">
        <f t="shared" ref="N261:N272" si="181">H261*IF(D261&gt;51%,0.0689,0.33)</f>
        <v>281.6274258</v>
      </c>
      <c r="O261" s="25">
        <f t="shared" ref="O261:O273" si="182">L261+M261</f>
        <v>158.7561306</v>
      </c>
      <c r="P261" s="81">
        <f t="shared" ref="P261:P272" si="183">N261+L261+M261</f>
        <v>440.3835564</v>
      </c>
      <c r="Q261" s="25">
        <f t="shared" ref="Q261:Q272" si="184">(IF(N261&gt;0,N261,0)+O261)*0.05</f>
        <v>22.01917782</v>
      </c>
      <c r="R261" s="81">
        <f t="shared" ref="R261:R272" si="185">P261+Q261</f>
        <v>462.4027342</v>
      </c>
    </row>
    <row r="262">
      <c r="A262" s="12"/>
      <c r="B262" s="80" t="s">
        <v>118</v>
      </c>
      <c r="C262" s="87">
        <v>28.0</v>
      </c>
      <c r="D262" s="86">
        <v>0.5868041666666667</v>
      </c>
      <c r="E262" s="88">
        <v>0.04620731865</v>
      </c>
      <c r="F262" s="89">
        <f t="shared" si="177"/>
        <v>2772.001215</v>
      </c>
      <c r="G262" s="81">
        <v>5279.0</v>
      </c>
      <c r="H262" s="81">
        <f t="shared" si="178"/>
        <v>2506.998785</v>
      </c>
      <c r="I262" s="25">
        <f t="shared" si="179"/>
        <v>3392.833201</v>
      </c>
      <c r="J262" s="64">
        <f>C262*'Rate Codes'!$D$7</f>
        <v>48.31358</v>
      </c>
      <c r="K262" s="25">
        <f>I262*'Rate Codes'!$D$8</f>
        <v>43.94736845</v>
      </c>
      <c r="L262" s="65">
        <f t="shared" si="180"/>
        <v>92.26094845</v>
      </c>
      <c r="M262" s="66">
        <f>I262*'Rate Codes'!$D$8</f>
        <v>43.94736845</v>
      </c>
      <c r="N262" s="67">
        <f t="shared" si="181"/>
        <v>172.7322163</v>
      </c>
      <c r="O262" s="25">
        <f t="shared" si="182"/>
        <v>136.2083169</v>
      </c>
      <c r="P262" s="81">
        <f t="shared" si="183"/>
        <v>308.9405332</v>
      </c>
      <c r="Q262" s="25">
        <f t="shared" si="184"/>
        <v>15.44702666</v>
      </c>
      <c r="R262" s="81">
        <f t="shared" si="185"/>
        <v>324.3875599</v>
      </c>
    </row>
    <row r="263">
      <c r="A263" s="12"/>
      <c r="B263" s="80" t="s">
        <v>119</v>
      </c>
      <c r="C263" s="87">
        <v>31.0</v>
      </c>
      <c r="D263" s="86">
        <v>0.5083333333333333</v>
      </c>
      <c r="E263" s="88">
        <v>0.08500831624</v>
      </c>
      <c r="F263" s="89">
        <f t="shared" si="177"/>
        <v>5099.693356</v>
      </c>
      <c r="G263" s="81">
        <v>4991.0</v>
      </c>
      <c r="H263" s="81">
        <f t="shared" si="178"/>
        <v>-108.6933555</v>
      </c>
      <c r="I263" s="25">
        <f t="shared" si="179"/>
        <v>2778.777778</v>
      </c>
      <c r="J263" s="64">
        <f>C263*'Rate Codes'!$D$7</f>
        <v>53.490035</v>
      </c>
      <c r="K263" s="25">
        <f>I263*'Rate Codes'!$D$8</f>
        <v>35.99350856</v>
      </c>
      <c r="L263" s="65">
        <f t="shared" si="180"/>
        <v>89.48354356</v>
      </c>
      <c r="M263" s="66">
        <f>I263*'Rate Codes'!$D$8</f>
        <v>35.99350856</v>
      </c>
      <c r="N263" s="67">
        <f t="shared" si="181"/>
        <v>-35.86880733</v>
      </c>
      <c r="O263" s="25">
        <f t="shared" si="182"/>
        <v>125.4770521</v>
      </c>
      <c r="P263" s="81">
        <f t="shared" si="183"/>
        <v>89.6082448</v>
      </c>
      <c r="Q263" s="25">
        <f t="shared" si="184"/>
        <v>6.273852606</v>
      </c>
      <c r="R263" s="81">
        <f t="shared" si="185"/>
        <v>95.8820974</v>
      </c>
    </row>
    <row r="264">
      <c r="A264" s="12"/>
      <c r="B264" s="80" t="s">
        <v>120</v>
      </c>
      <c r="C264" s="87">
        <v>30.0</v>
      </c>
      <c r="D264" s="86">
        <v>0.425</v>
      </c>
      <c r="E264" s="88">
        <v>0.108773175</v>
      </c>
      <c r="F264" s="89">
        <f t="shared" si="177"/>
        <v>6525.359663</v>
      </c>
      <c r="G264" s="81">
        <v>4952.0</v>
      </c>
      <c r="H264" s="81">
        <f t="shared" si="178"/>
        <v>-1573.359663</v>
      </c>
      <c r="I264" s="25">
        <f t="shared" si="179"/>
        <v>2305.086485</v>
      </c>
      <c r="J264" s="64">
        <f>C264*'Rate Codes'!$D$7</f>
        <v>51.76455</v>
      </c>
      <c r="K264" s="25">
        <f>I264*'Rate Codes'!$D$8</f>
        <v>29.85778524</v>
      </c>
      <c r="L264" s="65">
        <f t="shared" si="180"/>
        <v>81.62233524</v>
      </c>
      <c r="M264" s="66">
        <f>I264*'Rate Codes'!$D$8</f>
        <v>29.85778524</v>
      </c>
      <c r="N264" s="67">
        <f t="shared" si="181"/>
        <v>-519.2086888</v>
      </c>
      <c r="O264" s="25">
        <f t="shared" si="182"/>
        <v>111.4801205</v>
      </c>
      <c r="P264" s="81">
        <f t="shared" si="183"/>
        <v>-407.7285683</v>
      </c>
      <c r="Q264" s="25">
        <f t="shared" si="184"/>
        <v>5.574006024</v>
      </c>
      <c r="R264" s="81">
        <f t="shared" si="185"/>
        <v>-402.1545623</v>
      </c>
    </row>
    <row r="265">
      <c r="A265" s="12"/>
      <c r="B265" s="80" t="s">
        <v>98</v>
      </c>
      <c r="C265" s="87">
        <v>31.0</v>
      </c>
      <c r="D265" s="86">
        <v>0.35277916666666664</v>
      </c>
      <c r="E265" s="88">
        <v>0.1281742617</v>
      </c>
      <c r="F265" s="89">
        <f t="shared" si="177"/>
        <v>7689.241002</v>
      </c>
      <c r="G265" s="81">
        <v>5559.0</v>
      </c>
      <c r="H265" s="81">
        <f t="shared" si="178"/>
        <v>-2130.241002</v>
      </c>
      <c r="I265" s="25">
        <f t="shared" si="179"/>
        <v>2147.915848</v>
      </c>
      <c r="J265" s="64">
        <f>C265*'Rate Codes'!$D$7</f>
        <v>53.490035</v>
      </c>
      <c r="K265" s="25">
        <f>I265*'Rate Codes'!$D$8</f>
        <v>27.82195398</v>
      </c>
      <c r="L265" s="65">
        <f t="shared" si="180"/>
        <v>81.31198898</v>
      </c>
      <c r="M265" s="66">
        <f>I265*'Rate Codes'!$D$8</f>
        <v>27.82195398</v>
      </c>
      <c r="N265" s="67">
        <f t="shared" si="181"/>
        <v>-702.9795307</v>
      </c>
      <c r="O265" s="25">
        <f t="shared" si="182"/>
        <v>109.133943</v>
      </c>
      <c r="P265" s="81">
        <f t="shared" si="183"/>
        <v>-593.8455877</v>
      </c>
      <c r="Q265" s="25">
        <f t="shared" si="184"/>
        <v>5.456697148</v>
      </c>
      <c r="R265" s="81">
        <f t="shared" si="185"/>
        <v>-588.3888905</v>
      </c>
    </row>
    <row r="266">
      <c r="A266" s="12"/>
      <c r="B266" s="80" t="s">
        <v>121</v>
      </c>
      <c r="C266" s="87">
        <v>30.0</v>
      </c>
      <c r="D266" s="86">
        <v>0.31388750000000004</v>
      </c>
      <c r="E266" s="88">
        <v>0.1254860808</v>
      </c>
      <c r="F266" s="89">
        <f t="shared" si="177"/>
        <v>7527.975624</v>
      </c>
      <c r="G266" s="81">
        <v>4964.0</v>
      </c>
      <c r="H266" s="81">
        <f t="shared" si="178"/>
        <v>-2563.975624</v>
      </c>
      <c r="I266" s="25">
        <f t="shared" si="179"/>
        <v>1706.567428</v>
      </c>
      <c r="J266" s="64">
        <f>C266*'Rate Codes'!$D$7</f>
        <v>51.76455</v>
      </c>
      <c r="K266" s="25">
        <f>I266*'Rate Codes'!$D$8</f>
        <v>22.10516789</v>
      </c>
      <c r="L266" s="65">
        <f t="shared" si="180"/>
        <v>73.86971789</v>
      </c>
      <c r="M266" s="66">
        <f>I266*'Rate Codes'!$D$8</f>
        <v>22.10516789</v>
      </c>
      <c r="N266" s="67">
        <f t="shared" si="181"/>
        <v>-846.1119558</v>
      </c>
      <c r="O266" s="25">
        <f t="shared" si="182"/>
        <v>95.97488578</v>
      </c>
      <c r="P266" s="81">
        <f t="shared" si="183"/>
        <v>-750.13707</v>
      </c>
      <c r="Q266" s="25">
        <f t="shared" si="184"/>
        <v>4.798744289</v>
      </c>
      <c r="R266" s="81">
        <f t="shared" si="185"/>
        <v>-745.3383258</v>
      </c>
    </row>
    <row r="267">
      <c r="A267" s="12"/>
      <c r="B267" s="80" t="s">
        <v>122</v>
      </c>
      <c r="C267" s="87">
        <v>31.0</v>
      </c>
      <c r="D267" s="86">
        <v>0.33125</v>
      </c>
      <c r="E267" s="88">
        <v>0.1449493112</v>
      </c>
      <c r="F267" s="89">
        <f t="shared" si="177"/>
        <v>8695.584996</v>
      </c>
      <c r="G267" s="81">
        <v>6634.0</v>
      </c>
      <c r="H267" s="81">
        <f t="shared" si="178"/>
        <v>-2061.584996</v>
      </c>
      <c r="I267" s="25">
        <f t="shared" si="179"/>
        <v>2406.849931</v>
      </c>
      <c r="J267" s="64">
        <f>C267*'Rate Codes'!$D$7</f>
        <v>53.490035</v>
      </c>
      <c r="K267" s="25">
        <f>I267*'Rate Codes'!$D$8</f>
        <v>31.17592716</v>
      </c>
      <c r="L267" s="65">
        <f t="shared" si="180"/>
        <v>84.66596216</v>
      </c>
      <c r="M267" s="66">
        <f>I267*'Rate Codes'!$D$8</f>
        <v>31.17592716</v>
      </c>
      <c r="N267" s="67">
        <f t="shared" si="181"/>
        <v>-680.3230486</v>
      </c>
      <c r="O267" s="25">
        <f t="shared" si="182"/>
        <v>115.8418893</v>
      </c>
      <c r="P267" s="81">
        <f t="shared" si="183"/>
        <v>-564.4811593</v>
      </c>
      <c r="Q267" s="25">
        <f t="shared" si="184"/>
        <v>5.792094466</v>
      </c>
      <c r="R267" s="81">
        <f t="shared" si="185"/>
        <v>-558.6890648</v>
      </c>
    </row>
    <row r="268">
      <c r="A268" s="12"/>
      <c r="B268" s="80" t="s">
        <v>123</v>
      </c>
      <c r="C268" s="87">
        <v>31.0</v>
      </c>
      <c r="D268" s="86">
        <v>0.3951375</v>
      </c>
      <c r="E268" s="88">
        <v>0.1246952409</v>
      </c>
      <c r="F268" s="89">
        <f t="shared" si="177"/>
        <v>7480.532724</v>
      </c>
      <c r="G268" s="81">
        <v>5909.0</v>
      </c>
      <c r="H268" s="81">
        <f t="shared" si="178"/>
        <v>-1571.532724</v>
      </c>
      <c r="I268" s="25">
        <f t="shared" si="179"/>
        <v>2557.289504</v>
      </c>
      <c r="J268" s="64">
        <f>C268*'Rate Codes'!$D$7</f>
        <v>53.490035</v>
      </c>
      <c r="K268" s="25">
        <f>I268*'Rate Codes'!$D$8</f>
        <v>33.12457095</v>
      </c>
      <c r="L268" s="65">
        <f t="shared" si="180"/>
        <v>86.61460595</v>
      </c>
      <c r="M268" s="66">
        <f>I268*'Rate Codes'!$D$8</f>
        <v>33.12457095</v>
      </c>
      <c r="N268" s="67">
        <f t="shared" si="181"/>
        <v>-518.6057991</v>
      </c>
      <c r="O268" s="25">
        <f t="shared" si="182"/>
        <v>119.7391769</v>
      </c>
      <c r="P268" s="81">
        <f t="shared" si="183"/>
        <v>-398.8666222</v>
      </c>
      <c r="Q268" s="25">
        <f t="shared" si="184"/>
        <v>5.986958845</v>
      </c>
      <c r="R268" s="81">
        <f t="shared" si="185"/>
        <v>-392.8796633</v>
      </c>
    </row>
    <row r="269">
      <c r="A269" s="12"/>
      <c r="B269" s="80" t="s">
        <v>124</v>
      </c>
      <c r="C269" s="87">
        <v>30.0</v>
      </c>
      <c r="D269" s="86">
        <v>0.4756958333333334</v>
      </c>
      <c r="E269" s="88">
        <v>0.09825803101</v>
      </c>
      <c r="F269" s="89">
        <f t="shared" si="177"/>
        <v>5894.550675</v>
      </c>
      <c r="G269" s="81">
        <v>5270.0</v>
      </c>
      <c r="H269" s="81">
        <f t="shared" si="178"/>
        <v>-624.550675</v>
      </c>
      <c r="I269" s="25">
        <f t="shared" si="179"/>
        <v>2745.728686</v>
      </c>
      <c r="J269" s="64">
        <f>C269*'Rate Codes'!$D$7</f>
        <v>51.76455</v>
      </c>
      <c r="K269" s="25">
        <f>I269*'Rate Codes'!$D$8</f>
        <v>35.56542367</v>
      </c>
      <c r="L269" s="65">
        <f t="shared" si="180"/>
        <v>87.32997367</v>
      </c>
      <c r="M269" s="66">
        <f>I269*'Rate Codes'!$D$8</f>
        <v>35.56542367</v>
      </c>
      <c r="N269" s="67">
        <f t="shared" si="181"/>
        <v>-206.1017227</v>
      </c>
      <c r="O269" s="25">
        <f t="shared" si="182"/>
        <v>122.8953973</v>
      </c>
      <c r="P269" s="81">
        <f t="shared" si="183"/>
        <v>-83.20632541</v>
      </c>
      <c r="Q269" s="25">
        <f t="shared" si="184"/>
        <v>6.144769867</v>
      </c>
      <c r="R269" s="81">
        <f t="shared" si="185"/>
        <v>-77.06155554</v>
      </c>
    </row>
    <row r="270">
      <c r="A270" s="12"/>
      <c r="B270" s="80" t="s">
        <v>125</v>
      </c>
      <c r="C270" s="87">
        <v>31.0</v>
      </c>
      <c r="D270" s="86">
        <v>0.5590291666666667</v>
      </c>
      <c r="E270" s="88">
        <v>0.06840443866</v>
      </c>
      <c r="F270" s="89">
        <f t="shared" si="177"/>
        <v>4103.618055</v>
      </c>
      <c r="G270" s="81">
        <v>5946.0</v>
      </c>
      <c r="H270" s="81">
        <f t="shared" si="178"/>
        <v>1842.381945</v>
      </c>
      <c r="I270" s="25">
        <f t="shared" si="179"/>
        <v>3640.634083</v>
      </c>
      <c r="J270" s="64">
        <f>C270*'Rate Codes'!$D$7</f>
        <v>53.490035</v>
      </c>
      <c r="K270" s="25">
        <f>I270*'Rate Codes'!$D$8</f>
        <v>47.15713327</v>
      </c>
      <c r="L270" s="65">
        <f t="shared" si="180"/>
        <v>100.6471683</v>
      </c>
      <c r="M270" s="66">
        <f>I270*'Rate Codes'!$D$8</f>
        <v>47.15713327</v>
      </c>
      <c r="N270" s="67">
        <f t="shared" si="181"/>
        <v>126.940116</v>
      </c>
      <c r="O270" s="25">
        <f t="shared" si="182"/>
        <v>147.8043015</v>
      </c>
      <c r="P270" s="81">
        <f t="shared" si="183"/>
        <v>274.7444176</v>
      </c>
      <c r="Q270" s="25">
        <f t="shared" si="184"/>
        <v>13.73722088</v>
      </c>
      <c r="R270" s="81">
        <f t="shared" si="185"/>
        <v>288.4816385</v>
      </c>
    </row>
    <row r="271">
      <c r="A271" s="12"/>
      <c r="B271" s="80" t="s">
        <v>126</v>
      </c>
      <c r="C271" s="87">
        <v>30.0</v>
      </c>
      <c r="D271" s="86">
        <v>0.63125</v>
      </c>
      <c r="E271" s="88">
        <v>0.0271408052</v>
      </c>
      <c r="F271" s="89">
        <f t="shared" si="177"/>
        <v>1628.1911</v>
      </c>
      <c r="G271" s="81">
        <v>5587.0</v>
      </c>
      <c r="H271" s="81">
        <f t="shared" si="178"/>
        <v>3958.8089</v>
      </c>
      <c r="I271" s="25">
        <f t="shared" si="179"/>
        <v>3862.759959</v>
      </c>
      <c r="J271" s="64">
        <f>C271*'Rate Codes'!$D$7</f>
        <v>51.76455</v>
      </c>
      <c r="K271" s="25">
        <f>I271*'Rate Codes'!$D$8</f>
        <v>50.03432974</v>
      </c>
      <c r="L271" s="65">
        <f t="shared" si="180"/>
        <v>101.7988797</v>
      </c>
      <c r="M271" s="66">
        <f>I271*'Rate Codes'!$D$8</f>
        <v>50.03432974</v>
      </c>
      <c r="N271" s="67">
        <f t="shared" si="181"/>
        <v>272.7619332</v>
      </c>
      <c r="O271" s="25">
        <f t="shared" si="182"/>
        <v>151.8332095</v>
      </c>
      <c r="P271" s="81">
        <f t="shared" si="183"/>
        <v>424.5951427</v>
      </c>
      <c r="Q271" s="25">
        <f t="shared" si="184"/>
        <v>21.22975713</v>
      </c>
      <c r="R271" s="81">
        <f t="shared" si="185"/>
        <v>445.8248998</v>
      </c>
    </row>
    <row r="272">
      <c r="A272" s="12"/>
      <c r="B272" s="80" t="s">
        <v>127</v>
      </c>
      <c r="C272" s="87">
        <v>31.0</v>
      </c>
      <c r="D272" s="86">
        <v>0.6680541666666667</v>
      </c>
      <c r="E272" s="88">
        <v>0.01559005293</v>
      </c>
      <c r="F272" s="89">
        <f t="shared" si="177"/>
        <v>935.2554298</v>
      </c>
      <c r="G272" s="81">
        <v>5490.0</v>
      </c>
      <c r="H272" s="81">
        <f t="shared" si="178"/>
        <v>4554.74457</v>
      </c>
      <c r="I272" s="25">
        <f t="shared" si="179"/>
        <v>4016.998595</v>
      </c>
      <c r="J272" s="64">
        <f>C272*'Rate Codes'!$D$7</f>
        <v>53.490035</v>
      </c>
      <c r="K272" s="25">
        <f>I272*'Rate Codes'!$D$8</f>
        <v>52.03218281</v>
      </c>
      <c r="L272" s="65">
        <f t="shared" si="180"/>
        <v>105.5222178</v>
      </c>
      <c r="M272" s="66">
        <f>I272*'Rate Codes'!$D$8</f>
        <v>52.03218281</v>
      </c>
      <c r="N272" s="67">
        <f t="shared" si="181"/>
        <v>313.8219009</v>
      </c>
      <c r="O272" s="25">
        <f t="shared" si="182"/>
        <v>157.5544006</v>
      </c>
      <c r="P272" s="81">
        <f t="shared" si="183"/>
        <v>471.3763015</v>
      </c>
      <c r="Q272" s="25">
        <f t="shared" si="184"/>
        <v>23.56881508</v>
      </c>
      <c r="R272" s="81">
        <f t="shared" si="185"/>
        <v>494.9451166</v>
      </c>
    </row>
    <row r="273">
      <c r="A273" s="12"/>
      <c r="B273" s="77" t="s">
        <v>109</v>
      </c>
      <c r="C273" s="82"/>
      <c r="D273" s="83"/>
      <c r="E273" s="83">
        <f t="shared" ref="E273:N273" si="186">SUM(E261:E272)</f>
        <v>1</v>
      </c>
      <c r="F273" s="84">
        <f t="shared" si="186"/>
        <v>59990.52306</v>
      </c>
      <c r="G273" s="85">
        <f t="shared" si="186"/>
        <v>66307</v>
      </c>
      <c r="H273" s="85">
        <f t="shared" si="186"/>
        <v>6316.476941</v>
      </c>
      <c r="I273" s="48">
        <f t="shared" si="186"/>
        <v>35624.82819</v>
      </c>
      <c r="J273" s="85">
        <f t="shared" si="186"/>
        <v>629.802025</v>
      </c>
      <c r="K273" s="85">
        <f t="shared" si="186"/>
        <v>461.4483995</v>
      </c>
      <c r="L273" s="85">
        <f t="shared" si="186"/>
        <v>1091.250425</v>
      </c>
      <c r="M273" s="85">
        <f t="shared" si="186"/>
        <v>461.4483995</v>
      </c>
      <c r="N273" s="85">
        <f t="shared" si="186"/>
        <v>-2341.315961</v>
      </c>
      <c r="O273" s="48">
        <f t="shared" si="182"/>
        <v>1552.698824</v>
      </c>
      <c r="P273" s="85">
        <f t="shared" ref="P273:R273" si="187">SUM(P261:P272)</f>
        <v>-788.6171368</v>
      </c>
      <c r="Q273" s="85">
        <f t="shared" si="187"/>
        <v>136.0291208</v>
      </c>
      <c r="R273" s="85">
        <f t="shared" si="187"/>
        <v>-652.588016</v>
      </c>
    </row>
    <row r="275">
      <c r="A275" s="76">
        <v>17.0</v>
      </c>
      <c r="B275" s="12" t="s">
        <v>128</v>
      </c>
      <c r="C275" s="12"/>
      <c r="D275" s="15"/>
      <c r="E275" s="15">
        <f>$E$1* POWER((1 -$H$1),A275)</f>
        <v>59690.57044</v>
      </c>
      <c r="F275" s="1" t="s">
        <v>132</v>
      </c>
      <c r="G275" s="8">
        <f>E275/G289</f>
        <v>0.9002152177</v>
      </c>
      <c r="H275" s="1" t="s">
        <v>133</v>
      </c>
      <c r="I275" s="6">
        <f>1-G275</f>
        <v>0.09978478225</v>
      </c>
      <c r="J275" s="12" t="s">
        <v>74</v>
      </c>
      <c r="M275" s="12" t="s">
        <v>78</v>
      </c>
      <c r="N275" s="12"/>
      <c r="O275" s="12"/>
      <c r="P275" s="12"/>
      <c r="Q275" s="12"/>
      <c r="R275" s="12"/>
    </row>
    <row r="276">
      <c r="A276" s="12"/>
      <c r="B276" s="77" t="s">
        <v>83</v>
      </c>
      <c r="C276" s="78" t="s">
        <v>88</v>
      </c>
      <c r="D276" s="44" t="s">
        <v>87</v>
      </c>
      <c r="E276" s="77" t="s">
        <v>140</v>
      </c>
      <c r="F276" s="77" t="s">
        <v>135</v>
      </c>
      <c r="G276" s="78" t="s">
        <v>89</v>
      </c>
      <c r="H276" s="78" t="s">
        <v>138</v>
      </c>
      <c r="I276" s="20" t="s">
        <v>139</v>
      </c>
      <c r="J276" s="78" t="s">
        <v>76</v>
      </c>
      <c r="K276" s="78" t="s">
        <v>82</v>
      </c>
      <c r="L276" s="78" t="s">
        <v>109</v>
      </c>
      <c r="M276" s="78" t="s">
        <v>80</v>
      </c>
      <c r="N276" s="78" t="s">
        <v>67</v>
      </c>
      <c r="O276" s="45" t="s">
        <v>114</v>
      </c>
      <c r="P276" s="79" t="s">
        <v>115</v>
      </c>
      <c r="Q276" s="79" t="s">
        <v>60</v>
      </c>
      <c r="R276" s="79" t="s">
        <v>109</v>
      </c>
    </row>
    <row r="277">
      <c r="A277" s="12"/>
      <c r="B277" s="80" t="s">
        <v>117</v>
      </c>
      <c r="C277" s="87">
        <v>31.0</v>
      </c>
      <c r="D277" s="86">
        <v>0.6479166666666667</v>
      </c>
      <c r="E277" s="88">
        <v>0.02731296772</v>
      </c>
      <c r="F277" s="89">
        <f t="shared" ref="F277:F288" si="188">$E$275*E277</f>
        <v>1630.326624</v>
      </c>
      <c r="G277" s="81">
        <v>5726.0</v>
      </c>
      <c r="H277" s="81">
        <f t="shared" ref="H277:H288" si="189">G277-F277</f>
        <v>4095.673376</v>
      </c>
      <c r="I277" s="25">
        <f t="shared" ref="I277:I288" si="190">D277*G277*(1+$I$275)</f>
        <v>4080.169465</v>
      </c>
      <c r="J277" s="64">
        <f>C277*'Rate Codes'!$D$7</f>
        <v>53.490035</v>
      </c>
      <c r="K277" s="25">
        <f>I277*'Rate Codes'!$D$8</f>
        <v>52.85043508</v>
      </c>
      <c r="L277" s="65">
        <f t="shared" ref="L277:L288" si="191">SUM(J277:K277)</f>
        <v>106.3404701</v>
      </c>
      <c r="M277" s="66">
        <f>I277*'Rate Codes'!$D$8</f>
        <v>52.85043508</v>
      </c>
      <c r="N277" s="67">
        <f t="shared" ref="N277:N288" si="192">H277*IF(D277&gt;51%,0.0689,0.33)</f>
        <v>282.1918956</v>
      </c>
      <c r="O277" s="25">
        <f t="shared" ref="O277:O289" si="193">L277+M277</f>
        <v>159.1909052</v>
      </c>
      <c r="P277" s="81">
        <f t="shared" ref="P277:P288" si="194">N277+L277+M277</f>
        <v>441.3828008</v>
      </c>
      <c r="Q277" s="25">
        <f t="shared" ref="Q277:Q288" si="195">(IF(N277&gt;0,N277,0)+O277)*0.05</f>
        <v>22.06914004</v>
      </c>
      <c r="R277" s="81">
        <f t="shared" ref="R277:R288" si="196">P277+Q277</f>
        <v>463.4519408</v>
      </c>
    </row>
    <row r="278">
      <c r="A278" s="12"/>
      <c r="B278" s="80" t="s">
        <v>118</v>
      </c>
      <c r="C278" s="87">
        <v>28.0</v>
      </c>
      <c r="D278" s="86">
        <v>0.5868041666666667</v>
      </c>
      <c r="E278" s="88">
        <v>0.04620731865</v>
      </c>
      <c r="F278" s="89">
        <f t="shared" si="188"/>
        <v>2758.141209</v>
      </c>
      <c r="G278" s="81">
        <v>5279.0</v>
      </c>
      <c r="H278" s="81">
        <f t="shared" si="189"/>
        <v>2520.858791</v>
      </c>
      <c r="I278" s="25">
        <f t="shared" si="190"/>
        <v>3406.846427</v>
      </c>
      <c r="J278" s="64">
        <f>C278*'Rate Codes'!$D$7</f>
        <v>48.31358</v>
      </c>
      <c r="K278" s="25">
        <f>I278*'Rate Codes'!$D$8</f>
        <v>44.12888177</v>
      </c>
      <c r="L278" s="65">
        <f t="shared" si="191"/>
        <v>92.44246177</v>
      </c>
      <c r="M278" s="66">
        <f>I278*'Rate Codes'!$D$8</f>
        <v>44.12888177</v>
      </c>
      <c r="N278" s="67">
        <f t="shared" si="192"/>
        <v>173.6871707</v>
      </c>
      <c r="O278" s="25">
        <f t="shared" si="193"/>
        <v>136.5713435</v>
      </c>
      <c r="P278" s="81">
        <f t="shared" si="194"/>
        <v>310.2585142</v>
      </c>
      <c r="Q278" s="25">
        <f t="shared" si="195"/>
        <v>15.51292571</v>
      </c>
      <c r="R278" s="81">
        <f t="shared" si="196"/>
        <v>325.77144</v>
      </c>
    </row>
    <row r="279">
      <c r="A279" s="12"/>
      <c r="B279" s="80" t="s">
        <v>119</v>
      </c>
      <c r="C279" s="87">
        <v>31.0</v>
      </c>
      <c r="D279" s="86">
        <v>0.5083333333333333</v>
      </c>
      <c r="E279" s="88">
        <v>0.08500831624</v>
      </c>
      <c r="F279" s="89">
        <f t="shared" si="188"/>
        <v>5074.194889</v>
      </c>
      <c r="G279" s="81">
        <v>4991.0</v>
      </c>
      <c r="H279" s="81">
        <f t="shared" si="189"/>
        <v>-83.19488877</v>
      </c>
      <c r="I279" s="25">
        <f t="shared" si="190"/>
        <v>2790.254806</v>
      </c>
      <c r="J279" s="64">
        <f>C279*'Rate Codes'!$D$7</f>
        <v>53.490035</v>
      </c>
      <c r="K279" s="25">
        <f>I279*'Rate Codes'!$D$8</f>
        <v>36.1421705</v>
      </c>
      <c r="L279" s="65">
        <f t="shared" si="191"/>
        <v>89.6322055</v>
      </c>
      <c r="M279" s="66">
        <f>I279*'Rate Codes'!$D$8</f>
        <v>36.1421705</v>
      </c>
      <c r="N279" s="67">
        <f t="shared" si="192"/>
        <v>-27.45431329</v>
      </c>
      <c r="O279" s="25">
        <f t="shared" si="193"/>
        <v>125.774376</v>
      </c>
      <c r="P279" s="81">
        <f t="shared" si="194"/>
        <v>98.32006272</v>
      </c>
      <c r="Q279" s="25">
        <f t="shared" si="195"/>
        <v>6.2887188</v>
      </c>
      <c r="R279" s="81">
        <f t="shared" si="196"/>
        <v>104.6087815</v>
      </c>
    </row>
    <row r="280">
      <c r="A280" s="12"/>
      <c r="B280" s="80" t="s">
        <v>120</v>
      </c>
      <c r="C280" s="87">
        <v>30.0</v>
      </c>
      <c r="D280" s="86">
        <v>0.425</v>
      </c>
      <c r="E280" s="88">
        <v>0.108773175</v>
      </c>
      <c r="F280" s="89">
        <f t="shared" si="188"/>
        <v>6492.732865</v>
      </c>
      <c r="G280" s="81">
        <v>4952.0</v>
      </c>
      <c r="H280" s="81">
        <f t="shared" si="189"/>
        <v>-1540.732865</v>
      </c>
      <c r="I280" s="25">
        <f t="shared" si="190"/>
        <v>2314.607053</v>
      </c>
      <c r="J280" s="64">
        <f>C280*'Rate Codes'!$D$7</f>
        <v>51.76455</v>
      </c>
      <c r="K280" s="25">
        <f>I280*'Rate Codes'!$D$8</f>
        <v>29.98110515</v>
      </c>
      <c r="L280" s="65">
        <f t="shared" si="191"/>
        <v>81.74565515</v>
      </c>
      <c r="M280" s="66">
        <f>I280*'Rate Codes'!$D$8</f>
        <v>29.98110515</v>
      </c>
      <c r="N280" s="67">
        <f t="shared" si="192"/>
        <v>-508.4418453</v>
      </c>
      <c r="O280" s="25">
        <f t="shared" si="193"/>
        <v>111.7267603</v>
      </c>
      <c r="P280" s="81">
        <f t="shared" si="194"/>
        <v>-396.715085</v>
      </c>
      <c r="Q280" s="25">
        <f t="shared" si="195"/>
        <v>5.586338015</v>
      </c>
      <c r="R280" s="81">
        <f t="shared" si="196"/>
        <v>-391.128747</v>
      </c>
    </row>
    <row r="281">
      <c r="A281" s="12"/>
      <c r="B281" s="80" t="s">
        <v>98</v>
      </c>
      <c r="C281" s="87">
        <v>31.0</v>
      </c>
      <c r="D281" s="86">
        <v>0.35277916666666664</v>
      </c>
      <c r="E281" s="88">
        <v>0.1281742617</v>
      </c>
      <c r="F281" s="89">
        <f t="shared" si="188"/>
        <v>7650.794797</v>
      </c>
      <c r="G281" s="81">
        <v>5559.0</v>
      </c>
      <c r="H281" s="81">
        <f t="shared" si="189"/>
        <v>-2091.794797</v>
      </c>
      <c r="I281" s="25">
        <f t="shared" si="190"/>
        <v>2156.787263</v>
      </c>
      <c r="J281" s="64">
        <f>C281*'Rate Codes'!$D$7</f>
        <v>53.490035</v>
      </c>
      <c r="K281" s="25">
        <f>I281*'Rate Codes'!$D$8</f>
        <v>27.93686542</v>
      </c>
      <c r="L281" s="65">
        <f t="shared" si="191"/>
        <v>81.42690042</v>
      </c>
      <c r="M281" s="66">
        <f>I281*'Rate Codes'!$D$8</f>
        <v>27.93686542</v>
      </c>
      <c r="N281" s="67">
        <f t="shared" si="192"/>
        <v>-690.292283</v>
      </c>
      <c r="O281" s="25">
        <f t="shared" si="193"/>
        <v>109.3637658</v>
      </c>
      <c r="P281" s="81">
        <f t="shared" si="194"/>
        <v>-580.9285172</v>
      </c>
      <c r="Q281" s="25">
        <f t="shared" si="195"/>
        <v>5.468188292</v>
      </c>
      <c r="R281" s="81">
        <f t="shared" si="196"/>
        <v>-575.4603289</v>
      </c>
    </row>
    <row r="282">
      <c r="A282" s="12"/>
      <c r="B282" s="80" t="s">
        <v>121</v>
      </c>
      <c r="C282" s="87">
        <v>30.0</v>
      </c>
      <c r="D282" s="86">
        <v>0.31388750000000004</v>
      </c>
      <c r="E282" s="88">
        <v>0.1254860808</v>
      </c>
      <c r="F282" s="89">
        <f t="shared" si="188"/>
        <v>7490.335746</v>
      </c>
      <c r="G282" s="81">
        <v>4964.0</v>
      </c>
      <c r="H282" s="81">
        <f t="shared" si="189"/>
        <v>-2526.335746</v>
      </c>
      <c r="I282" s="25">
        <f t="shared" si="190"/>
        <v>1713.615966</v>
      </c>
      <c r="J282" s="64">
        <f>C282*'Rate Codes'!$D$7</f>
        <v>51.76455</v>
      </c>
      <c r="K282" s="25">
        <f>I282*'Rate Codes'!$D$8</f>
        <v>22.19646761</v>
      </c>
      <c r="L282" s="65">
        <f t="shared" si="191"/>
        <v>73.96101761</v>
      </c>
      <c r="M282" s="66">
        <f>I282*'Rate Codes'!$D$8</f>
        <v>22.19646761</v>
      </c>
      <c r="N282" s="67">
        <f t="shared" si="192"/>
        <v>-833.6907961</v>
      </c>
      <c r="O282" s="25">
        <f t="shared" si="193"/>
        <v>96.15748522</v>
      </c>
      <c r="P282" s="81">
        <f t="shared" si="194"/>
        <v>-737.5333108</v>
      </c>
      <c r="Q282" s="25">
        <f t="shared" si="195"/>
        <v>4.807874261</v>
      </c>
      <c r="R282" s="81">
        <f t="shared" si="196"/>
        <v>-732.7254366</v>
      </c>
    </row>
    <row r="283">
      <c r="A283" s="12"/>
      <c r="B283" s="80" t="s">
        <v>122</v>
      </c>
      <c r="C283" s="87">
        <v>31.0</v>
      </c>
      <c r="D283" s="86">
        <v>0.33125</v>
      </c>
      <c r="E283" s="88">
        <v>0.1449493112</v>
      </c>
      <c r="F283" s="89">
        <f t="shared" si="188"/>
        <v>8652.107071</v>
      </c>
      <c r="G283" s="81">
        <v>6634.0</v>
      </c>
      <c r="H283" s="81">
        <f t="shared" si="189"/>
        <v>-2018.107071</v>
      </c>
      <c r="I283" s="25">
        <f t="shared" si="190"/>
        <v>2416.790806</v>
      </c>
      <c r="J283" s="64">
        <f>C283*'Rate Codes'!$D$7</f>
        <v>53.490035</v>
      </c>
      <c r="K283" s="25">
        <f>I283*'Rate Codes'!$D$8</f>
        <v>31.30469131</v>
      </c>
      <c r="L283" s="65">
        <f t="shared" si="191"/>
        <v>84.79472631</v>
      </c>
      <c r="M283" s="66">
        <f>I283*'Rate Codes'!$D$8</f>
        <v>31.30469131</v>
      </c>
      <c r="N283" s="67">
        <f t="shared" si="192"/>
        <v>-665.9753334</v>
      </c>
      <c r="O283" s="25">
        <f t="shared" si="193"/>
        <v>116.0994176</v>
      </c>
      <c r="P283" s="81">
        <f t="shared" si="194"/>
        <v>-549.8759158</v>
      </c>
      <c r="Q283" s="25">
        <f t="shared" si="195"/>
        <v>5.804970881</v>
      </c>
      <c r="R283" s="81">
        <f t="shared" si="196"/>
        <v>-544.0709449</v>
      </c>
    </row>
    <row r="284">
      <c r="A284" s="12"/>
      <c r="B284" s="80" t="s">
        <v>123</v>
      </c>
      <c r="C284" s="87">
        <v>31.0</v>
      </c>
      <c r="D284" s="86">
        <v>0.3951375</v>
      </c>
      <c r="E284" s="88">
        <v>0.1246952409</v>
      </c>
      <c r="F284" s="89">
        <f t="shared" si="188"/>
        <v>7443.130061</v>
      </c>
      <c r="G284" s="81">
        <v>5909.0</v>
      </c>
      <c r="H284" s="81">
        <f t="shared" si="189"/>
        <v>-1534.130061</v>
      </c>
      <c r="I284" s="25">
        <f t="shared" si="190"/>
        <v>2567.851731</v>
      </c>
      <c r="J284" s="64">
        <f>C284*'Rate Codes'!$D$7</f>
        <v>53.490035</v>
      </c>
      <c r="K284" s="25">
        <f>I284*'Rate Codes'!$D$8</f>
        <v>33.26138348</v>
      </c>
      <c r="L284" s="65">
        <f t="shared" si="191"/>
        <v>86.75141848</v>
      </c>
      <c r="M284" s="66">
        <f>I284*'Rate Codes'!$D$8</f>
        <v>33.26138348</v>
      </c>
      <c r="N284" s="67">
        <f t="shared" si="192"/>
        <v>-506.2629201</v>
      </c>
      <c r="O284" s="25">
        <f t="shared" si="193"/>
        <v>120.012802</v>
      </c>
      <c r="P284" s="81">
        <f t="shared" si="194"/>
        <v>-386.2501181</v>
      </c>
      <c r="Q284" s="25">
        <f t="shared" si="195"/>
        <v>6.000640098</v>
      </c>
      <c r="R284" s="81">
        <f t="shared" si="196"/>
        <v>-380.249478</v>
      </c>
    </row>
    <row r="285">
      <c r="A285" s="12"/>
      <c r="B285" s="80" t="s">
        <v>124</v>
      </c>
      <c r="C285" s="87">
        <v>30.0</v>
      </c>
      <c r="D285" s="86">
        <v>0.4756958333333334</v>
      </c>
      <c r="E285" s="88">
        <v>0.09825803101</v>
      </c>
      <c r="F285" s="89">
        <f t="shared" si="188"/>
        <v>5865.077922</v>
      </c>
      <c r="G285" s="81">
        <v>5270.0</v>
      </c>
      <c r="H285" s="81">
        <f t="shared" si="189"/>
        <v>-595.0779216</v>
      </c>
      <c r="I285" s="25">
        <f t="shared" si="190"/>
        <v>2757.069213</v>
      </c>
      <c r="J285" s="64">
        <f>C285*'Rate Codes'!$D$7</f>
        <v>51.76455</v>
      </c>
      <c r="K285" s="25">
        <f>I285*'Rate Codes'!$D$8</f>
        <v>35.71231751</v>
      </c>
      <c r="L285" s="65">
        <f t="shared" si="191"/>
        <v>87.47686751</v>
      </c>
      <c r="M285" s="66">
        <f>I285*'Rate Codes'!$D$8</f>
        <v>35.71231751</v>
      </c>
      <c r="N285" s="67">
        <f t="shared" si="192"/>
        <v>-196.3757141</v>
      </c>
      <c r="O285" s="25">
        <f t="shared" si="193"/>
        <v>123.189185</v>
      </c>
      <c r="P285" s="81">
        <f t="shared" si="194"/>
        <v>-73.1865291</v>
      </c>
      <c r="Q285" s="25">
        <f t="shared" si="195"/>
        <v>6.159459251</v>
      </c>
      <c r="R285" s="81">
        <f t="shared" si="196"/>
        <v>-67.02706985</v>
      </c>
    </row>
    <row r="286">
      <c r="A286" s="12"/>
      <c r="B286" s="80" t="s">
        <v>125</v>
      </c>
      <c r="C286" s="87">
        <v>31.0</v>
      </c>
      <c r="D286" s="86">
        <v>0.5590291666666667</v>
      </c>
      <c r="E286" s="88">
        <v>0.06840443866</v>
      </c>
      <c r="F286" s="89">
        <f t="shared" si="188"/>
        <v>4083.099964</v>
      </c>
      <c r="G286" s="81">
        <v>5946.0</v>
      </c>
      <c r="H286" s="81">
        <f t="shared" si="189"/>
        <v>1862.900036</v>
      </c>
      <c r="I286" s="25">
        <f t="shared" si="190"/>
        <v>3655.670786</v>
      </c>
      <c r="J286" s="64">
        <f>C286*'Rate Codes'!$D$7</f>
        <v>53.490035</v>
      </c>
      <c r="K286" s="25">
        <f>I286*'Rate Codes'!$D$8</f>
        <v>47.3519037</v>
      </c>
      <c r="L286" s="65">
        <f t="shared" si="191"/>
        <v>100.8419387</v>
      </c>
      <c r="M286" s="66">
        <f>I286*'Rate Codes'!$D$8</f>
        <v>47.3519037</v>
      </c>
      <c r="N286" s="67">
        <f t="shared" si="192"/>
        <v>128.3538124</v>
      </c>
      <c r="O286" s="25">
        <f t="shared" si="193"/>
        <v>148.1938424</v>
      </c>
      <c r="P286" s="81">
        <f t="shared" si="194"/>
        <v>276.5476548</v>
      </c>
      <c r="Q286" s="25">
        <f t="shared" si="195"/>
        <v>13.82738274</v>
      </c>
      <c r="R286" s="81">
        <f t="shared" si="196"/>
        <v>290.3750376</v>
      </c>
    </row>
    <row r="287">
      <c r="A287" s="12"/>
      <c r="B287" s="80" t="s">
        <v>126</v>
      </c>
      <c r="C287" s="87">
        <v>30.0</v>
      </c>
      <c r="D287" s="86">
        <v>0.63125</v>
      </c>
      <c r="E287" s="88">
        <v>0.0271408052</v>
      </c>
      <c r="F287" s="89">
        <f t="shared" si="188"/>
        <v>1620.050145</v>
      </c>
      <c r="G287" s="81">
        <v>5587.0</v>
      </c>
      <c r="H287" s="81">
        <f t="shared" si="189"/>
        <v>3966.949855</v>
      </c>
      <c r="I287" s="25">
        <f t="shared" si="190"/>
        <v>3878.714096</v>
      </c>
      <c r="J287" s="64">
        <f>C287*'Rate Codes'!$D$7</f>
        <v>51.76455</v>
      </c>
      <c r="K287" s="25">
        <f>I287*'Rate Codes'!$D$8</f>
        <v>50.24098369</v>
      </c>
      <c r="L287" s="65">
        <f t="shared" si="191"/>
        <v>102.0055337</v>
      </c>
      <c r="M287" s="66">
        <f>I287*'Rate Codes'!$D$8</f>
        <v>50.24098369</v>
      </c>
      <c r="N287" s="67">
        <f t="shared" si="192"/>
        <v>273.322845</v>
      </c>
      <c r="O287" s="25">
        <f t="shared" si="193"/>
        <v>152.2465174</v>
      </c>
      <c r="P287" s="81">
        <f t="shared" si="194"/>
        <v>425.5693624</v>
      </c>
      <c r="Q287" s="25">
        <f t="shared" si="195"/>
        <v>21.27846812</v>
      </c>
      <c r="R287" s="81">
        <f t="shared" si="196"/>
        <v>446.8478305</v>
      </c>
    </row>
    <row r="288">
      <c r="A288" s="12"/>
      <c r="B288" s="80" t="s">
        <v>127</v>
      </c>
      <c r="C288" s="87">
        <v>31.0</v>
      </c>
      <c r="D288" s="86">
        <v>0.6680541666666667</v>
      </c>
      <c r="E288" s="88">
        <v>0.01559005293</v>
      </c>
      <c r="F288" s="89">
        <f t="shared" si="188"/>
        <v>930.5791526</v>
      </c>
      <c r="G288" s="81">
        <v>5490.0</v>
      </c>
      <c r="H288" s="81">
        <f t="shared" si="189"/>
        <v>4559.420847</v>
      </c>
      <c r="I288" s="25">
        <f t="shared" si="190"/>
        <v>4033.589776</v>
      </c>
      <c r="J288" s="64">
        <f>C288*'Rate Codes'!$D$7</f>
        <v>53.490035</v>
      </c>
      <c r="K288" s="25">
        <f>I288*'Rate Codes'!$D$8</f>
        <v>52.24708837</v>
      </c>
      <c r="L288" s="65">
        <f t="shared" si="191"/>
        <v>105.7371234</v>
      </c>
      <c r="M288" s="66">
        <f>I288*'Rate Codes'!$D$8</f>
        <v>52.24708837</v>
      </c>
      <c r="N288" s="67">
        <f t="shared" si="192"/>
        <v>314.1440964</v>
      </c>
      <c r="O288" s="25">
        <f t="shared" si="193"/>
        <v>157.9842117</v>
      </c>
      <c r="P288" s="81">
        <f t="shared" si="194"/>
        <v>472.1283081</v>
      </c>
      <c r="Q288" s="25">
        <f t="shared" si="195"/>
        <v>23.60641541</v>
      </c>
      <c r="R288" s="81">
        <f t="shared" si="196"/>
        <v>495.7347235</v>
      </c>
    </row>
    <row r="289">
      <c r="A289" s="12"/>
      <c r="B289" s="77" t="s">
        <v>109</v>
      </c>
      <c r="C289" s="82"/>
      <c r="D289" s="83"/>
      <c r="E289" s="83">
        <f t="shared" ref="E289:N289" si="197">SUM(E277:E288)</f>
        <v>1</v>
      </c>
      <c r="F289" s="84">
        <f t="shared" si="197"/>
        <v>59690.57044</v>
      </c>
      <c r="G289" s="85">
        <f t="shared" si="197"/>
        <v>66307</v>
      </c>
      <c r="H289" s="85">
        <f t="shared" si="197"/>
        <v>6616.429556</v>
      </c>
      <c r="I289" s="48">
        <f t="shared" si="197"/>
        <v>35771.96739</v>
      </c>
      <c r="J289" s="85">
        <f t="shared" si="197"/>
        <v>629.802025</v>
      </c>
      <c r="K289" s="85">
        <f t="shared" si="197"/>
        <v>463.3542936</v>
      </c>
      <c r="L289" s="85">
        <f t="shared" si="197"/>
        <v>1093.156319</v>
      </c>
      <c r="M289" s="85">
        <f t="shared" si="197"/>
        <v>463.3542936</v>
      </c>
      <c r="N289" s="85">
        <f t="shared" si="197"/>
        <v>-2256.793385</v>
      </c>
      <c r="O289" s="48">
        <f t="shared" si="193"/>
        <v>1556.510612</v>
      </c>
      <c r="P289" s="85">
        <f t="shared" ref="P289:R289" si="198">SUM(P277:P288)</f>
        <v>-700.2827729</v>
      </c>
      <c r="Q289" s="85">
        <f t="shared" si="198"/>
        <v>136.4105216</v>
      </c>
      <c r="R289" s="85">
        <f t="shared" si="198"/>
        <v>-563.8722513</v>
      </c>
    </row>
    <row r="291">
      <c r="A291" s="76">
        <v>18.0</v>
      </c>
      <c r="B291" s="12" t="s">
        <v>128</v>
      </c>
      <c r="C291" s="12"/>
      <c r="D291" s="15"/>
      <c r="E291" s="15">
        <f>$E$1* POWER((1 -$H$1),A291)</f>
        <v>59392.11759</v>
      </c>
      <c r="F291" s="1" t="s">
        <v>132</v>
      </c>
      <c r="G291" s="8">
        <f>E291/G305</f>
        <v>0.8957141417</v>
      </c>
      <c r="H291" s="1" t="s">
        <v>133</v>
      </c>
      <c r="I291" s="6">
        <f>1-G291</f>
        <v>0.1042858583</v>
      </c>
      <c r="J291" s="12" t="s">
        <v>74</v>
      </c>
      <c r="M291" s="12" t="s">
        <v>78</v>
      </c>
      <c r="N291" s="12"/>
      <c r="O291" s="12"/>
      <c r="P291" s="12"/>
      <c r="Q291" s="12"/>
      <c r="R291" s="12"/>
    </row>
    <row r="292">
      <c r="A292" s="12"/>
      <c r="B292" s="77" t="s">
        <v>83</v>
      </c>
      <c r="C292" s="78" t="s">
        <v>88</v>
      </c>
      <c r="D292" s="44" t="s">
        <v>87</v>
      </c>
      <c r="E292" s="77" t="s">
        <v>140</v>
      </c>
      <c r="F292" s="77" t="s">
        <v>135</v>
      </c>
      <c r="G292" s="78" t="s">
        <v>89</v>
      </c>
      <c r="H292" s="78" t="s">
        <v>138</v>
      </c>
      <c r="I292" s="20" t="s">
        <v>139</v>
      </c>
      <c r="J292" s="78" t="s">
        <v>76</v>
      </c>
      <c r="K292" s="78" t="s">
        <v>82</v>
      </c>
      <c r="L292" s="78" t="s">
        <v>109</v>
      </c>
      <c r="M292" s="78" t="s">
        <v>80</v>
      </c>
      <c r="N292" s="78" t="s">
        <v>67</v>
      </c>
      <c r="O292" s="45" t="s">
        <v>114</v>
      </c>
      <c r="P292" s="79" t="s">
        <v>115</v>
      </c>
      <c r="Q292" s="79" t="s">
        <v>60</v>
      </c>
      <c r="R292" s="79" t="s">
        <v>109</v>
      </c>
    </row>
    <row r="293">
      <c r="A293" s="12"/>
      <c r="B293" s="80" t="s">
        <v>117</v>
      </c>
      <c r="C293" s="87">
        <v>31.0</v>
      </c>
      <c r="D293" s="86">
        <v>0.6479166666666667</v>
      </c>
      <c r="E293" s="88">
        <v>0.02731296772</v>
      </c>
      <c r="F293" s="89">
        <f t="shared" ref="F293:F304" si="199">$E$291*E293</f>
        <v>1622.174991</v>
      </c>
      <c r="G293" s="81">
        <v>5726.0</v>
      </c>
      <c r="H293" s="81">
        <f t="shared" ref="H293:H304" si="200">G293-F293</f>
        <v>4103.825009</v>
      </c>
      <c r="I293" s="25">
        <f t="shared" ref="I293:I304" si="201">D293*G293*(1+$I$291)</f>
        <v>4096.868326</v>
      </c>
      <c r="J293" s="64">
        <f>C293*'Rate Codes'!$D$7</f>
        <v>53.490035</v>
      </c>
      <c r="K293" s="25">
        <f>I293*'Rate Codes'!$D$8</f>
        <v>53.06673543</v>
      </c>
      <c r="L293" s="65">
        <f t="shared" ref="L293:L304" si="202">SUM(J293:K293)</f>
        <v>106.5567704</v>
      </c>
      <c r="M293" s="66">
        <f>I293*'Rate Codes'!$D$8</f>
        <v>53.06673543</v>
      </c>
      <c r="N293" s="67">
        <f t="shared" ref="N293:N304" si="203">H293*IF(D293&gt;51%,0.0689,0.33)</f>
        <v>282.7535431</v>
      </c>
      <c r="O293" s="25">
        <f t="shared" ref="O293:O305" si="204">L293+M293</f>
        <v>159.6235059</v>
      </c>
      <c r="P293" s="81">
        <f t="shared" ref="P293:P304" si="205">N293+L293+M293</f>
        <v>442.377049</v>
      </c>
      <c r="Q293" s="25">
        <f t="shared" ref="Q293:Q304" si="206">(IF(N293&gt;0,N293,0)+O293)*0.05</f>
        <v>22.11885245</v>
      </c>
      <c r="R293" s="81">
        <f t="shared" ref="R293:R304" si="207">P293+Q293</f>
        <v>464.4959015</v>
      </c>
    </row>
    <row r="294">
      <c r="A294" s="12"/>
      <c r="B294" s="80" t="s">
        <v>118</v>
      </c>
      <c r="C294" s="87">
        <v>28.0</v>
      </c>
      <c r="D294" s="86">
        <v>0.5868041666666667</v>
      </c>
      <c r="E294" s="88">
        <v>0.04620731865</v>
      </c>
      <c r="F294" s="89">
        <f t="shared" si="199"/>
        <v>2744.350503</v>
      </c>
      <c r="G294" s="81">
        <v>5279.0</v>
      </c>
      <c r="H294" s="81">
        <f t="shared" si="200"/>
        <v>2534.649497</v>
      </c>
      <c r="I294" s="25">
        <f t="shared" si="201"/>
        <v>3420.789587</v>
      </c>
      <c r="J294" s="64">
        <f>C294*'Rate Codes'!$D$7</f>
        <v>48.31358</v>
      </c>
      <c r="K294" s="25">
        <f>I294*'Rate Codes'!$D$8</f>
        <v>44.30948752</v>
      </c>
      <c r="L294" s="65">
        <f t="shared" si="202"/>
        <v>92.62306752</v>
      </c>
      <c r="M294" s="66">
        <f>I294*'Rate Codes'!$D$8</f>
        <v>44.30948752</v>
      </c>
      <c r="N294" s="67">
        <f t="shared" si="203"/>
        <v>174.6373504</v>
      </c>
      <c r="O294" s="25">
        <f t="shared" si="204"/>
        <v>136.932555</v>
      </c>
      <c r="P294" s="81">
        <f t="shared" si="205"/>
        <v>311.5699054</v>
      </c>
      <c r="Q294" s="25">
        <f t="shared" si="206"/>
        <v>15.57849527</v>
      </c>
      <c r="R294" s="81">
        <f t="shared" si="207"/>
        <v>327.1484007</v>
      </c>
    </row>
    <row r="295">
      <c r="A295" s="12"/>
      <c r="B295" s="80" t="s">
        <v>119</v>
      </c>
      <c r="C295" s="87">
        <v>31.0</v>
      </c>
      <c r="D295" s="86">
        <v>0.5083333333333333</v>
      </c>
      <c r="E295" s="88">
        <v>0.08500831624</v>
      </c>
      <c r="F295" s="89">
        <f t="shared" si="199"/>
        <v>5048.823914</v>
      </c>
      <c r="G295" s="81">
        <v>4991.0</v>
      </c>
      <c r="H295" s="81">
        <f t="shared" si="200"/>
        <v>-57.82391432</v>
      </c>
      <c r="I295" s="25">
        <f t="shared" si="201"/>
        <v>2801.674449</v>
      </c>
      <c r="J295" s="64">
        <f>C295*'Rate Codes'!$D$7</f>
        <v>53.490035</v>
      </c>
      <c r="K295" s="25">
        <f>I295*'Rate Codes'!$D$8</f>
        <v>36.29008914</v>
      </c>
      <c r="L295" s="65">
        <f t="shared" si="202"/>
        <v>89.78012414</v>
      </c>
      <c r="M295" s="66">
        <f>I295*'Rate Codes'!$D$8</f>
        <v>36.29008914</v>
      </c>
      <c r="N295" s="67">
        <f t="shared" si="203"/>
        <v>-19.08189173</v>
      </c>
      <c r="O295" s="25">
        <f t="shared" si="204"/>
        <v>126.0702133</v>
      </c>
      <c r="P295" s="81">
        <f t="shared" si="205"/>
        <v>106.9883215</v>
      </c>
      <c r="Q295" s="25">
        <f t="shared" si="206"/>
        <v>6.303510664</v>
      </c>
      <c r="R295" s="81">
        <f t="shared" si="207"/>
        <v>113.2918322</v>
      </c>
    </row>
    <row r="296">
      <c r="A296" s="12"/>
      <c r="B296" s="80" t="s">
        <v>120</v>
      </c>
      <c r="C296" s="87">
        <v>30.0</v>
      </c>
      <c r="D296" s="86">
        <v>0.425</v>
      </c>
      <c r="E296" s="88">
        <v>0.108773175</v>
      </c>
      <c r="F296" s="89">
        <f t="shared" si="199"/>
        <v>6460.2692</v>
      </c>
      <c r="G296" s="81">
        <v>4952.0</v>
      </c>
      <c r="H296" s="81">
        <f t="shared" si="200"/>
        <v>-1508.2692</v>
      </c>
      <c r="I296" s="25">
        <f t="shared" si="201"/>
        <v>2324.080017</v>
      </c>
      <c r="J296" s="64">
        <f>C296*'Rate Codes'!$D$7</f>
        <v>51.76455</v>
      </c>
      <c r="K296" s="25">
        <f>I296*'Rate Codes'!$D$8</f>
        <v>30.10380847</v>
      </c>
      <c r="L296" s="65">
        <f t="shared" si="202"/>
        <v>81.86835847</v>
      </c>
      <c r="M296" s="66">
        <f>I296*'Rate Codes'!$D$8</f>
        <v>30.10380847</v>
      </c>
      <c r="N296" s="67">
        <f t="shared" si="203"/>
        <v>-497.7288361</v>
      </c>
      <c r="O296" s="25">
        <f t="shared" si="204"/>
        <v>111.9721669</v>
      </c>
      <c r="P296" s="81">
        <f t="shared" si="205"/>
        <v>-385.7566692</v>
      </c>
      <c r="Q296" s="25">
        <f t="shared" si="206"/>
        <v>5.598608347</v>
      </c>
      <c r="R296" s="81">
        <f t="shared" si="207"/>
        <v>-380.1580608</v>
      </c>
    </row>
    <row r="297">
      <c r="A297" s="12"/>
      <c r="B297" s="80" t="s">
        <v>98</v>
      </c>
      <c r="C297" s="87">
        <v>31.0</v>
      </c>
      <c r="D297" s="86">
        <v>0.35277916666666664</v>
      </c>
      <c r="E297" s="88">
        <v>0.1281742617</v>
      </c>
      <c r="F297" s="89">
        <f t="shared" si="199"/>
        <v>7612.540823</v>
      </c>
      <c r="G297" s="81">
        <v>5559.0</v>
      </c>
      <c r="H297" s="81">
        <f t="shared" si="200"/>
        <v>-2053.540823</v>
      </c>
      <c r="I297" s="25">
        <f t="shared" si="201"/>
        <v>2165.61432</v>
      </c>
      <c r="J297" s="64">
        <f>C297*'Rate Codes'!$D$7</f>
        <v>53.490035</v>
      </c>
      <c r="K297" s="25">
        <f>I297*'Rate Codes'!$D$8</f>
        <v>28.05120229</v>
      </c>
      <c r="L297" s="65">
        <f t="shared" si="202"/>
        <v>81.54123729</v>
      </c>
      <c r="M297" s="66">
        <f>I297*'Rate Codes'!$D$8</f>
        <v>28.05120229</v>
      </c>
      <c r="N297" s="67">
        <f t="shared" si="203"/>
        <v>-677.6684716</v>
      </c>
      <c r="O297" s="25">
        <f t="shared" si="204"/>
        <v>109.5924396</v>
      </c>
      <c r="P297" s="81">
        <f t="shared" si="205"/>
        <v>-568.076032</v>
      </c>
      <c r="Q297" s="25">
        <f t="shared" si="206"/>
        <v>5.479621979</v>
      </c>
      <c r="R297" s="81">
        <f t="shared" si="207"/>
        <v>-562.59641</v>
      </c>
    </row>
    <row r="298">
      <c r="A298" s="12"/>
      <c r="B298" s="80" t="s">
        <v>121</v>
      </c>
      <c r="C298" s="87">
        <v>30.0</v>
      </c>
      <c r="D298" s="86">
        <v>0.31388750000000004</v>
      </c>
      <c r="E298" s="88">
        <v>0.1254860808</v>
      </c>
      <c r="F298" s="89">
        <f t="shared" si="199"/>
        <v>7452.884067</v>
      </c>
      <c r="G298" s="81">
        <v>4964.0</v>
      </c>
      <c r="H298" s="81">
        <f t="shared" si="200"/>
        <v>-2488.884067</v>
      </c>
      <c r="I298" s="25">
        <f t="shared" si="201"/>
        <v>1720.629262</v>
      </c>
      <c r="J298" s="64">
        <f>C298*'Rate Codes'!$D$7</f>
        <v>51.76455</v>
      </c>
      <c r="K298" s="25">
        <f>I298*'Rate Codes'!$D$8</f>
        <v>22.28731083</v>
      </c>
      <c r="L298" s="65">
        <f t="shared" si="202"/>
        <v>74.05186083</v>
      </c>
      <c r="M298" s="66">
        <f>I298*'Rate Codes'!$D$8</f>
        <v>22.28731083</v>
      </c>
      <c r="N298" s="67">
        <f t="shared" si="203"/>
        <v>-821.3317421</v>
      </c>
      <c r="O298" s="25">
        <f t="shared" si="204"/>
        <v>96.33917166</v>
      </c>
      <c r="P298" s="81">
        <f t="shared" si="205"/>
        <v>-724.9925704</v>
      </c>
      <c r="Q298" s="25">
        <f t="shared" si="206"/>
        <v>4.816958583</v>
      </c>
      <c r="R298" s="81">
        <f t="shared" si="207"/>
        <v>-720.1756118</v>
      </c>
    </row>
    <row r="299">
      <c r="A299" s="12"/>
      <c r="B299" s="80" t="s">
        <v>122</v>
      </c>
      <c r="C299" s="87">
        <v>31.0</v>
      </c>
      <c r="D299" s="86">
        <v>0.33125</v>
      </c>
      <c r="E299" s="88">
        <v>0.1449493112</v>
      </c>
      <c r="F299" s="89">
        <f t="shared" si="199"/>
        <v>8608.846535</v>
      </c>
      <c r="G299" s="81">
        <v>6634.0</v>
      </c>
      <c r="H299" s="81">
        <f t="shared" si="200"/>
        <v>-1974.846535</v>
      </c>
      <c r="I299" s="25">
        <f t="shared" si="201"/>
        <v>2426.681977</v>
      </c>
      <c r="J299" s="64">
        <f>C299*'Rate Codes'!$D$7</f>
        <v>53.490035</v>
      </c>
      <c r="K299" s="25">
        <f>I299*'Rate Codes'!$D$8</f>
        <v>31.43281165</v>
      </c>
      <c r="L299" s="65">
        <f t="shared" si="202"/>
        <v>84.92284665</v>
      </c>
      <c r="M299" s="66">
        <f>I299*'Rate Codes'!$D$8</f>
        <v>31.43281165</v>
      </c>
      <c r="N299" s="67">
        <f t="shared" si="203"/>
        <v>-651.6993567</v>
      </c>
      <c r="O299" s="25">
        <f t="shared" si="204"/>
        <v>116.3556583</v>
      </c>
      <c r="P299" s="81">
        <f t="shared" si="205"/>
        <v>-535.3436984</v>
      </c>
      <c r="Q299" s="25">
        <f t="shared" si="206"/>
        <v>5.817782915</v>
      </c>
      <c r="R299" s="81">
        <f t="shared" si="207"/>
        <v>-529.5259155</v>
      </c>
    </row>
    <row r="300">
      <c r="A300" s="12"/>
      <c r="B300" s="80" t="s">
        <v>123</v>
      </c>
      <c r="C300" s="87">
        <v>31.0</v>
      </c>
      <c r="D300" s="86">
        <v>0.3951375</v>
      </c>
      <c r="E300" s="88">
        <v>0.1246952409</v>
      </c>
      <c r="F300" s="89">
        <f t="shared" si="199"/>
        <v>7405.914411</v>
      </c>
      <c r="G300" s="81">
        <v>5909.0</v>
      </c>
      <c r="H300" s="81">
        <f t="shared" si="200"/>
        <v>-1496.914411</v>
      </c>
      <c r="I300" s="25">
        <f t="shared" si="201"/>
        <v>2578.361148</v>
      </c>
      <c r="J300" s="64">
        <f>C300*'Rate Codes'!$D$7</f>
        <v>53.490035</v>
      </c>
      <c r="K300" s="25">
        <f>I300*'Rate Codes'!$D$8</f>
        <v>33.39751194</v>
      </c>
      <c r="L300" s="65">
        <f t="shared" si="202"/>
        <v>86.88754694</v>
      </c>
      <c r="M300" s="66">
        <f>I300*'Rate Codes'!$D$8</f>
        <v>33.39751194</v>
      </c>
      <c r="N300" s="67">
        <f t="shared" si="203"/>
        <v>-493.9817555</v>
      </c>
      <c r="O300" s="25">
        <f t="shared" si="204"/>
        <v>120.2850589</v>
      </c>
      <c r="P300" s="81">
        <f t="shared" si="205"/>
        <v>-373.6966966</v>
      </c>
      <c r="Q300" s="25">
        <f t="shared" si="206"/>
        <v>6.014252944</v>
      </c>
      <c r="R300" s="81">
        <f t="shared" si="207"/>
        <v>-367.6824436</v>
      </c>
    </row>
    <row r="301">
      <c r="A301" s="12"/>
      <c r="B301" s="80" t="s">
        <v>124</v>
      </c>
      <c r="C301" s="87">
        <v>30.0</v>
      </c>
      <c r="D301" s="86">
        <v>0.4756958333333334</v>
      </c>
      <c r="E301" s="88">
        <v>0.09825803101</v>
      </c>
      <c r="F301" s="89">
        <f t="shared" si="199"/>
        <v>5835.752532</v>
      </c>
      <c r="G301" s="81">
        <v>5270.0</v>
      </c>
      <c r="H301" s="81">
        <f t="shared" si="200"/>
        <v>-565.752532</v>
      </c>
      <c r="I301" s="25">
        <f t="shared" si="201"/>
        <v>2768.353037</v>
      </c>
      <c r="J301" s="64">
        <f>C301*'Rate Codes'!$D$7</f>
        <v>51.76455</v>
      </c>
      <c r="K301" s="25">
        <f>I301*'Rate Codes'!$D$8</f>
        <v>35.85847689</v>
      </c>
      <c r="L301" s="65">
        <f t="shared" si="202"/>
        <v>87.62302689</v>
      </c>
      <c r="M301" s="66">
        <f>I301*'Rate Codes'!$D$8</f>
        <v>35.85847689</v>
      </c>
      <c r="N301" s="67">
        <f t="shared" si="203"/>
        <v>-186.6983356</v>
      </c>
      <c r="O301" s="25">
        <f t="shared" si="204"/>
        <v>123.4815038</v>
      </c>
      <c r="P301" s="81">
        <f t="shared" si="205"/>
        <v>-63.21683178</v>
      </c>
      <c r="Q301" s="25">
        <f t="shared" si="206"/>
        <v>6.174075189</v>
      </c>
      <c r="R301" s="81">
        <f t="shared" si="207"/>
        <v>-57.04275659</v>
      </c>
    </row>
    <row r="302">
      <c r="A302" s="12"/>
      <c r="B302" s="80" t="s">
        <v>125</v>
      </c>
      <c r="C302" s="87">
        <v>31.0</v>
      </c>
      <c r="D302" s="86">
        <v>0.5590291666666667</v>
      </c>
      <c r="E302" s="88">
        <v>0.06840443866</v>
      </c>
      <c r="F302" s="89">
        <f t="shared" si="199"/>
        <v>4062.684465</v>
      </c>
      <c r="G302" s="81">
        <v>5946.0</v>
      </c>
      <c r="H302" s="81">
        <f t="shared" si="200"/>
        <v>1883.315535</v>
      </c>
      <c r="I302" s="25">
        <f t="shared" si="201"/>
        <v>3670.632307</v>
      </c>
      <c r="J302" s="64">
        <f>C302*'Rate Codes'!$D$7</f>
        <v>53.490035</v>
      </c>
      <c r="K302" s="25">
        <f>I302*'Rate Codes'!$D$8</f>
        <v>47.54570027</v>
      </c>
      <c r="L302" s="65">
        <f t="shared" si="202"/>
        <v>101.0357353</v>
      </c>
      <c r="M302" s="66">
        <f>I302*'Rate Codes'!$D$8</f>
        <v>47.54570027</v>
      </c>
      <c r="N302" s="67">
        <f t="shared" si="203"/>
        <v>129.7604404</v>
      </c>
      <c r="O302" s="25">
        <f t="shared" si="204"/>
        <v>148.5814355</v>
      </c>
      <c r="P302" s="81">
        <f t="shared" si="205"/>
        <v>278.3418759</v>
      </c>
      <c r="Q302" s="25">
        <f t="shared" si="206"/>
        <v>13.9170938</v>
      </c>
      <c r="R302" s="81">
        <f t="shared" si="207"/>
        <v>292.2589697</v>
      </c>
    </row>
    <row r="303">
      <c r="A303" s="12"/>
      <c r="B303" s="80" t="s">
        <v>126</v>
      </c>
      <c r="C303" s="87">
        <v>30.0</v>
      </c>
      <c r="D303" s="86">
        <v>0.63125</v>
      </c>
      <c r="E303" s="88">
        <v>0.0271408052</v>
      </c>
      <c r="F303" s="89">
        <f t="shared" si="199"/>
        <v>1611.949894</v>
      </c>
      <c r="G303" s="81">
        <v>5587.0</v>
      </c>
      <c r="H303" s="81">
        <f t="shared" si="200"/>
        <v>3975.050106</v>
      </c>
      <c r="I303" s="25">
        <f t="shared" si="201"/>
        <v>3894.588463</v>
      </c>
      <c r="J303" s="64">
        <f>C303*'Rate Codes'!$D$7</f>
        <v>51.76455</v>
      </c>
      <c r="K303" s="25">
        <f>I303*'Rate Codes'!$D$8</f>
        <v>50.44660437</v>
      </c>
      <c r="L303" s="65">
        <f t="shared" si="202"/>
        <v>102.2111544</v>
      </c>
      <c r="M303" s="66">
        <f>I303*'Rate Codes'!$D$8</f>
        <v>50.44660437</v>
      </c>
      <c r="N303" s="67">
        <f t="shared" si="203"/>
        <v>273.8809523</v>
      </c>
      <c r="O303" s="25">
        <f t="shared" si="204"/>
        <v>152.6577587</v>
      </c>
      <c r="P303" s="81">
        <f t="shared" si="205"/>
        <v>426.538711</v>
      </c>
      <c r="Q303" s="25">
        <f t="shared" si="206"/>
        <v>21.32693555</v>
      </c>
      <c r="R303" s="81">
        <f t="shared" si="207"/>
        <v>447.8656466</v>
      </c>
    </row>
    <row r="304">
      <c r="A304" s="12"/>
      <c r="B304" s="80" t="s">
        <v>127</v>
      </c>
      <c r="C304" s="87">
        <v>31.0</v>
      </c>
      <c r="D304" s="86">
        <v>0.6680541666666667</v>
      </c>
      <c r="E304" s="88">
        <v>0.01559005293</v>
      </c>
      <c r="F304" s="89">
        <f t="shared" si="199"/>
        <v>925.9262569</v>
      </c>
      <c r="G304" s="81">
        <v>5490.0</v>
      </c>
      <c r="H304" s="81">
        <f t="shared" si="200"/>
        <v>4564.073743</v>
      </c>
      <c r="I304" s="25">
        <f t="shared" si="201"/>
        <v>4050.098001</v>
      </c>
      <c r="J304" s="64">
        <f>C304*'Rate Codes'!$D$7</f>
        <v>53.490035</v>
      </c>
      <c r="K304" s="25">
        <f>I304*'Rate Codes'!$D$8</f>
        <v>52.46091941</v>
      </c>
      <c r="L304" s="65">
        <f t="shared" si="202"/>
        <v>105.9509544</v>
      </c>
      <c r="M304" s="66">
        <f>I304*'Rate Codes'!$D$8</f>
        <v>52.46091941</v>
      </c>
      <c r="N304" s="67">
        <f t="shared" si="203"/>
        <v>314.4646809</v>
      </c>
      <c r="O304" s="25">
        <f t="shared" si="204"/>
        <v>158.4118738</v>
      </c>
      <c r="P304" s="81">
        <f t="shared" si="205"/>
        <v>472.8765547</v>
      </c>
      <c r="Q304" s="25">
        <f t="shared" si="206"/>
        <v>23.64382774</v>
      </c>
      <c r="R304" s="81">
        <f t="shared" si="207"/>
        <v>496.5203825</v>
      </c>
    </row>
    <row r="305">
      <c r="A305" s="12"/>
      <c r="B305" s="77" t="s">
        <v>109</v>
      </c>
      <c r="C305" s="82"/>
      <c r="D305" s="83"/>
      <c r="E305" s="83">
        <f t="shared" ref="E305:N305" si="208">SUM(E293:E304)</f>
        <v>1</v>
      </c>
      <c r="F305" s="84">
        <f t="shared" si="208"/>
        <v>59392.11759</v>
      </c>
      <c r="G305" s="85">
        <f t="shared" si="208"/>
        <v>66307</v>
      </c>
      <c r="H305" s="85">
        <f t="shared" si="208"/>
        <v>6914.882409</v>
      </c>
      <c r="I305" s="48">
        <f t="shared" si="208"/>
        <v>35918.37089</v>
      </c>
      <c r="J305" s="85">
        <f t="shared" si="208"/>
        <v>629.802025</v>
      </c>
      <c r="K305" s="85">
        <f t="shared" si="208"/>
        <v>465.2506582</v>
      </c>
      <c r="L305" s="85">
        <f t="shared" si="208"/>
        <v>1095.052683</v>
      </c>
      <c r="M305" s="85">
        <f t="shared" si="208"/>
        <v>465.2506582</v>
      </c>
      <c r="N305" s="85">
        <f t="shared" si="208"/>
        <v>-2172.693422</v>
      </c>
      <c r="O305" s="48">
        <f t="shared" si="204"/>
        <v>1560.303341</v>
      </c>
      <c r="P305" s="85">
        <f t="shared" ref="P305:R305" si="209">SUM(P293:P304)</f>
        <v>-612.3900808</v>
      </c>
      <c r="Q305" s="85">
        <f t="shared" si="209"/>
        <v>136.7900154</v>
      </c>
      <c r="R305" s="85">
        <f t="shared" si="209"/>
        <v>-475.6000653</v>
      </c>
    </row>
    <row r="307">
      <c r="A307" s="76">
        <v>19.0</v>
      </c>
      <c r="B307" s="12" t="s">
        <v>128</v>
      </c>
      <c r="C307" s="12"/>
      <c r="D307" s="15"/>
      <c r="E307" s="15">
        <f>$E$1* POWER((1 -$H$1),A307)</f>
        <v>59095.157</v>
      </c>
      <c r="F307" s="1" t="s">
        <v>132</v>
      </c>
      <c r="G307" s="8">
        <f>E307/G321</f>
        <v>0.8912355709</v>
      </c>
      <c r="H307" s="1" t="s">
        <v>133</v>
      </c>
      <c r="I307" s="6">
        <f>1-G307</f>
        <v>0.1087644291</v>
      </c>
      <c r="J307" s="12" t="s">
        <v>74</v>
      </c>
      <c r="M307" s="12" t="s">
        <v>78</v>
      </c>
      <c r="N307" s="12"/>
      <c r="O307" s="12"/>
      <c r="P307" s="12"/>
      <c r="Q307" s="12"/>
      <c r="R307" s="12"/>
    </row>
    <row r="308">
      <c r="A308" s="12"/>
      <c r="B308" s="77" t="s">
        <v>83</v>
      </c>
      <c r="C308" s="78" t="s">
        <v>88</v>
      </c>
      <c r="D308" s="44" t="s">
        <v>87</v>
      </c>
      <c r="E308" s="77" t="s">
        <v>140</v>
      </c>
      <c r="F308" s="77" t="s">
        <v>135</v>
      </c>
      <c r="G308" s="78" t="s">
        <v>89</v>
      </c>
      <c r="H308" s="78" t="s">
        <v>138</v>
      </c>
      <c r="I308" s="20" t="s">
        <v>139</v>
      </c>
      <c r="J308" s="78" t="s">
        <v>76</v>
      </c>
      <c r="K308" s="78" t="s">
        <v>82</v>
      </c>
      <c r="L308" s="78" t="s">
        <v>109</v>
      </c>
      <c r="M308" s="78" t="s">
        <v>80</v>
      </c>
      <c r="N308" s="78" t="s">
        <v>67</v>
      </c>
      <c r="O308" s="45" t="s">
        <v>114</v>
      </c>
      <c r="P308" s="79" t="s">
        <v>115</v>
      </c>
      <c r="Q308" s="79" t="s">
        <v>60</v>
      </c>
      <c r="R308" s="79" t="s">
        <v>109</v>
      </c>
    </row>
    <row r="309">
      <c r="A309" s="12"/>
      <c r="B309" s="80" t="s">
        <v>117</v>
      </c>
      <c r="C309" s="87">
        <v>31.0</v>
      </c>
      <c r="D309" s="86">
        <v>0.6479166666666667</v>
      </c>
      <c r="E309" s="88">
        <v>0.02731296772</v>
      </c>
      <c r="F309" s="89">
        <f t="shared" ref="F309:F320" si="210">$E$307*E309</f>
        <v>1614.064116</v>
      </c>
      <c r="G309" s="81">
        <v>5726.0</v>
      </c>
      <c r="H309" s="81">
        <f t="shared" ref="H309:H320" si="211">G309-F309</f>
        <v>4111.935884</v>
      </c>
      <c r="I309" s="25">
        <f t="shared" ref="I309:I320" si="212">D309*G309*(1+$I$307)</f>
        <v>4113.483693</v>
      </c>
      <c r="J309" s="64">
        <f>C309*'Rate Codes'!$D$7</f>
        <v>53.490035</v>
      </c>
      <c r="K309" s="25">
        <f>I309*'Rate Codes'!$D$8</f>
        <v>53.28195427</v>
      </c>
      <c r="L309" s="65">
        <f t="shared" ref="L309:L320" si="213">SUM(J309:K309)</f>
        <v>106.7719893</v>
      </c>
      <c r="M309" s="66">
        <f>I309*'Rate Codes'!$D$8</f>
        <v>53.28195427</v>
      </c>
      <c r="N309" s="67">
        <f t="shared" ref="N309:N320" si="214">H309*IF(D309&gt;51%,0.0689,0.33)</f>
        <v>283.3123824</v>
      </c>
      <c r="O309" s="25">
        <f t="shared" ref="O309:O321" si="215">L309+M309</f>
        <v>160.0539435</v>
      </c>
      <c r="P309" s="81">
        <f t="shared" ref="P309:P320" si="216">N309+L309+M309</f>
        <v>443.366326</v>
      </c>
      <c r="Q309" s="25">
        <f t="shared" ref="Q309:Q320" si="217">(IF(N309&gt;0,N309,0)+O309)*0.05</f>
        <v>22.1683163</v>
      </c>
      <c r="R309" s="81">
        <f t="shared" ref="R309:R320" si="218">P309+Q309</f>
        <v>465.5346423</v>
      </c>
    </row>
    <row r="310">
      <c r="A310" s="12"/>
      <c r="B310" s="80" t="s">
        <v>118</v>
      </c>
      <c r="C310" s="87">
        <v>28.0</v>
      </c>
      <c r="D310" s="86">
        <v>0.5868041666666667</v>
      </c>
      <c r="E310" s="88">
        <v>0.04620731865</v>
      </c>
      <c r="F310" s="89">
        <f t="shared" si="210"/>
        <v>2730.62875</v>
      </c>
      <c r="G310" s="81">
        <v>5279.0</v>
      </c>
      <c r="H310" s="81">
        <f t="shared" si="211"/>
        <v>2548.37125</v>
      </c>
      <c r="I310" s="25">
        <f t="shared" si="212"/>
        <v>3434.663031</v>
      </c>
      <c r="J310" s="64">
        <f>C310*'Rate Codes'!$D$7</f>
        <v>48.31358</v>
      </c>
      <c r="K310" s="25">
        <f>I310*'Rate Codes'!$D$8</f>
        <v>44.48919024</v>
      </c>
      <c r="L310" s="65">
        <f t="shared" si="213"/>
        <v>92.80277024</v>
      </c>
      <c r="M310" s="66">
        <f>I310*'Rate Codes'!$D$8</f>
        <v>44.48919024</v>
      </c>
      <c r="N310" s="67">
        <f t="shared" si="214"/>
        <v>175.5827791</v>
      </c>
      <c r="O310" s="25">
        <f t="shared" si="215"/>
        <v>137.2919605</v>
      </c>
      <c r="P310" s="81">
        <f t="shared" si="216"/>
        <v>312.8747396</v>
      </c>
      <c r="Q310" s="25">
        <f t="shared" si="217"/>
        <v>15.64373698</v>
      </c>
      <c r="R310" s="81">
        <f t="shared" si="218"/>
        <v>328.5184766</v>
      </c>
    </row>
    <row r="311">
      <c r="A311" s="12"/>
      <c r="B311" s="80" t="s">
        <v>119</v>
      </c>
      <c r="C311" s="87">
        <v>31.0</v>
      </c>
      <c r="D311" s="86">
        <v>0.5083333333333333</v>
      </c>
      <c r="E311" s="88">
        <v>0.08500831624</v>
      </c>
      <c r="F311" s="89">
        <f t="shared" si="210"/>
        <v>5023.579795</v>
      </c>
      <c r="G311" s="81">
        <v>4991.0</v>
      </c>
      <c r="H311" s="81">
        <f t="shared" si="211"/>
        <v>-32.57979475</v>
      </c>
      <c r="I311" s="25">
        <f t="shared" si="212"/>
        <v>2813.036993</v>
      </c>
      <c r="J311" s="64">
        <f>C311*'Rate Codes'!$D$7</f>
        <v>53.490035</v>
      </c>
      <c r="K311" s="25">
        <f>I311*'Rate Codes'!$D$8</f>
        <v>36.43726817</v>
      </c>
      <c r="L311" s="65">
        <f t="shared" si="213"/>
        <v>89.92730317</v>
      </c>
      <c r="M311" s="66">
        <f>I311*'Rate Codes'!$D$8</f>
        <v>36.43726817</v>
      </c>
      <c r="N311" s="67">
        <f t="shared" si="214"/>
        <v>-10.75133227</v>
      </c>
      <c r="O311" s="25">
        <f t="shared" si="215"/>
        <v>126.3645713</v>
      </c>
      <c r="P311" s="81">
        <f t="shared" si="216"/>
        <v>115.6132391</v>
      </c>
      <c r="Q311" s="25">
        <f t="shared" si="217"/>
        <v>6.318228567</v>
      </c>
      <c r="R311" s="81">
        <f t="shared" si="218"/>
        <v>121.9314676</v>
      </c>
    </row>
    <row r="312">
      <c r="A312" s="12"/>
      <c r="B312" s="80" t="s">
        <v>120</v>
      </c>
      <c r="C312" s="87">
        <v>30.0</v>
      </c>
      <c r="D312" s="86">
        <v>0.425</v>
      </c>
      <c r="E312" s="88">
        <v>0.108773175</v>
      </c>
      <c r="F312" s="89">
        <f t="shared" si="210"/>
        <v>6427.967854</v>
      </c>
      <c r="G312" s="81">
        <v>4952.0</v>
      </c>
      <c r="H312" s="81">
        <f t="shared" si="211"/>
        <v>-1475.967854</v>
      </c>
      <c r="I312" s="25">
        <f t="shared" si="212"/>
        <v>2333.505617</v>
      </c>
      <c r="J312" s="64">
        <f>C312*'Rate Codes'!$D$7</f>
        <v>51.76455</v>
      </c>
      <c r="K312" s="25">
        <f>I312*'Rate Codes'!$D$8</f>
        <v>30.22589826</v>
      </c>
      <c r="L312" s="65">
        <f t="shared" si="213"/>
        <v>81.99044826</v>
      </c>
      <c r="M312" s="66">
        <f>I312*'Rate Codes'!$D$8</f>
        <v>30.22589826</v>
      </c>
      <c r="N312" s="67">
        <f t="shared" si="214"/>
        <v>-487.0693919</v>
      </c>
      <c r="O312" s="25">
        <f t="shared" si="215"/>
        <v>112.2163465</v>
      </c>
      <c r="P312" s="81">
        <f t="shared" si="216"/>
        <v>-374.8530454</v>
      </c>
      <c r="Q312" s="25">
        <f t="shared" si="217"/>
        <v>5.610817326</v>
      </c>
      <c r="R312" s="81">
        <f t="shared" si="218"/>
        <v>-369.2422281</v>
      </c>
    </row>
    <row r="313">
      <c r="A313" s="12"/>
      <c r="B313" s="80" t="s">
        <v>98</v>
      </c>
      <c r="C313" s="87">
        <v>31.0</v>
      </c>
      <c r="D313" s="86">
        <v>0.35277916666666664</v>
      </c>
      <c r="E313" s="88">
        <v>0.1281742617</v>
      </c>
      <c r="F313" s="89">
        <f t="shared" si="210"/>
        <v>7574.478119</v>
      </c>
      <c r="G313" s="81">
        <v>5559.0</v>
      </c>
      <c r="H313" s="81">
        <f t="shared" si="211"/>
        <v>-2015.478119</v>
      </c>
      <c r="I313" s="25">
        <f t="shared" si="212"/>
        <v>2174.397243</v>
      </c>
      <c r="J313" s="64">
        <f>C313*'Rate Codes'!$D$7</f>
        <v>53.490035</v>
      </c>
      <c r="K313" s="25">
        <f>I313*'Rate Codes'!$D$8</f>
        <v>28.16496748</v>
      </c>
      <c r="L313" s="65">
        <f t="shared" si="213"/>
        <v>81.65500248</v>
      </c>
      <c r="M313" s="66">
        <f>I313*'Rate Codes'!$D$8</f>
        <v>28.16496748</v>
      </c>
      <c r="N313" s="67">
        <f t="shared" si="214"/>
        <v>-665.1077792</v>
      </c>
      <c r="O313" s="25">
        <f t="shared" si="215"/>
        <v>109.81997</v>
      </c>
      <c r="P313" s="81">
        <f t="shared" si="216"/>
        <v>-555.2878093</v>
      </c>
      <c r="Q313" s="25">
        <f t="shared" si="217"/>
        <v>5.490998498</v>
      </c>
      <c r="R313" s="81">
        <f t="shared" si="218"/>
        <v>-549.7968108</v>
      </c>
    </row>
    <row r="314">
      <c r="A314" s="12"/>
      <c r="B314" s="80" t="s">
        <v>121</v>
      </c>
      <c r="C314" s="87">
        <v>30.0</v>
      </c>
      <c r="D314" s="86">
        <v>0.31388750000000004</v>
      </c>
      <c r="E314" s="88">
        <v>0.1254860808</v>
      </c>
      <c r="F314" s="89">
        <f t="shared" si="210"/>
        <v>7415.619647</v>
      </c>
      <c r="G314" s="81">
        <v>4964.0</v>
      </c>
      <c r="H314" s="81">
        <f t="shared" si="211"/>
        <v>-2451.619647</v>
      </c>
      <c r="I314" s="25">
        <f t="shared" si="212"/>
        <v>1727.607491</v>
      </c>
      <c r="J314" s="64">
        <f>C314*'Rate Codes'!$D$7</f>
        <v>51.76455</v>
      </c>
      <c r="K314" s="25">
        <f>I314*'Rate Codes'!$D$8</f>
        <v>22.37769983</v>
      </c>
      <c r="L314" s="65">
        <f t="shared" si="213"/>
        <v>74.14224983</v>
      </c>
      <c r="M314" s="66">
        <f>I314*'Rate Codes'!$D$8</f>
        <v>22.37769983</v>
      </c>
      <c r="N314" s="67">
        <f t="shared" si="214"/>
        <v>-809.0344834</v>
      </c>
      <c r="O314" s="25">
        <f t="shared" si="215"/>
        <v>96.51994966</v>
      </c>
      <c r="P314" s="81">
        <f t="shared" si="216"/>
        <v>-712.5145337</v>
      </c>
      <c r="Q314" s="25">
        <f t="shared" si="217"/>
        <v>4.825997483</v>
      </c>
      <c r="R314" s="81">
        <f t="shared" si="218"/>
        <v>-707.6885362</v>
      </c>
    </row>
    <row r="315">
      <c r="A315" s="12"/>
      <c r="B315" s="80" t="s">
        <v>122</v>
      </c>
      <c r="C315" s="87">
        <v>31.0</v>
      </c>
      <c r="D315" s="86">
        <v>0.33125</v>
      </c>
      <c r="E315" s="88">
        <v>0.1449493112</v>
      </c>
      <c r="F315" s="89">
        <f t="shared" si="210"/>
        <v>8565.802303</v>
      </c>
      <c r="G315" s="81">
        <v>6634.0</v>
      </c>
      <c r="H315" s="81">
        <f t="shared" si="211"/>
        <v>-1931.802303</v>
      </c>
      <c r="I315" s="25">
        <f t="shared" si="212"/>
        <v>2436.523692</v>
      </c>
      <c r="J315" s="64">
        <f>C315*'Rate Codes'!$D$7</f>
        <v>53.490035</v>
      </c>
      <c r="K315" s="25">
        <f>I315*'Rate Codes'!$D$8</f>
        <v>31.56029139</v>
      </c>
      <c r="L315" s="65">
        <f t="shared" si="213"/>
        <v>85.05032639</v>
      </c>
      <c r="M315" s="66">
        <f>I315*'Rate Codes'!$D$8</f>
        <v>31.56029139</v>
      </c>
      <c r="N315" s="67">
        <f t="shared" si="214"/>
        <v>-637.4947599</v>
      </c>
      <c r="O315" s="25">
        <f t="shared" si="215"/>
        <v>116.6106178</v>
      </c>
      <c r="P315" s="81">
        <f t="shared" si="216"/>
        <v>-520.8841422</v>
      </c>
      <c r="Q315" s="25">
        <f t="shared" si="217"/>
        <v>5.830530889</v>
      </c>
      <c r="R315" s="81">
        <f t="shared" si="218"/>
        <v>-515.0536113</v>
      </c>
    </row>
    <row r="316">
      <c r="A316" s="12"/>
      <c r="B316" s="80" t="s">
        <v>123</v>
      </c>
      <c r="C316" s="87">
        <v>31.0</v>
      </c>
      <c r="D316" s="86">
        <v>0.3951375</v>
      </c>
      <c r="E316" s="88">
        <v>0.1246952409</v>
      </c>
      <c r="F316" s="89">
        <f t="shared" si="210"/>
        <v>7368.884838</v>
      </c>
      <c r="G316" s="81">
        <v>5909.0</v>
      </c>
      <c r="H316" s="81">
        <f t="shared" si="211"/>
        <v>-1459.884838</v>
      </c>
      <c r="I316" s="25">
        <f t="shared" si="212"/>
        <v>2588.818017</v>
      </c>
      <c r="J316" s="64">
        <f>C316*'Rate Codes'!$D$7</f>
        <v>53.490035</v>
      </c>
      <c r="K316" s="25">
        <f>I316*'Rate Codes'!$D$8</f>
        <v>33.53295977</v>
      </c>
      <c r="L316" s="65">
        <f t="shared" si="213"/>
        <v>87.02299477</v>
      </c>
      <c r="M316" s="66">
        <f>I316*'Rate Codes'!$D$8</f>
        <v>33.53295977</v>
      </c>
      <c r="N316" s="67">
        <f t="shared" si="214"/>
        <v>-481.7619967</v>
      </c>
      <c r="O316" s="25">
        <f t="shared" si="215"/>
        <v>120.5559545</v>
      </c>
      <c r="P316" s="81">
        <f t="shared" si="216"/>
        <v>-361.2060422</v>
      </c>
      <c r="Q316" s="25">
        <f t="shared" si="217"/>
        <v>6.027797727</v>
      </c>
      <c r="R316" s="81">
        <f t="shared" si="218"/>
        <v>-355.1782444</v>
      </c>
    </row>
    <row r="317">
      <c r="A317" s="12"/>
      <c r="B317" s="80" t="s">
        <v>124</v>
      </c>
      <c r="C317" s="87">
        <v>30.0</v>
      </c>
      <c r="D317" s="86">
        <v>0.4756958333333334</v>
      </c>
      <c r="E317" s="88">
        <v>0.09825803101</v>
      </c>
      <c r="F317" s="89">
        <f t="shared" si="210"/>
        <v>5806.573769</v>
      </c>
      <c r="G317" s="81">
        <v>5270.0</v>
      </c>
      <c r="H317" s="81">
        <f t="shared" si="211"/>
        <v>-536.5737693</v>
      </c>
      <c r="I317" s="25">
        <f t="shared" si="212"/>
        <v>2779.580442</v>
      </c>
      <c r="J317" s="64">
        <f>C317*'Rate Codes'!$D$7</f>
        <v>51.76455</v>
      </c>
      <c r="K317" s="25">
        <f>I317*'Rate Codes'!$D$8</f>
        <v>36.00390547</v>
      </c>
      <c r="L317" s="65">
        <f t="shared" si="213"/>
        <v>87.76845547</v>
      </c>
      <c r="M317" s="66">
        <f>I317*'Rate Codes'!$D$8</f>
        <v>36.00390547</v>
      </c>
      <c r="N317" s="67">
        <f t="shared" si="214"/>
        <v>-177.0693439</v>
      </c>
      <c r="O317" s="25">
        <f t="shared" si="215"/>
        <v>123.7723609</v>
      </c>
      <c r="P317" s="81">
        <f t="shared" si="216"/>
        <v>-53.29698294</v>
      </c>
      <c r="Q317" s="25">
        <f t="shared" si="217"/>
        <v>6.188618047</v>
      </c>
      <c r="R317" s="81">
        <f t="shared" si="218"/>
        <v>-47.10836489</v>
      </c>
    </row>
    <row r="318">
      <c r="A318" s="12"/>
      <c r="B318" s="80" t="s">
        <v>125</v>
      </c>
      <c r="C318" s="87">
        <v>31.0</v>
      </c>
      <c r="D318" s="86">
        <v>0.5590291666666667</v>
      </c>
      <c r="E318" s="88">
        <v>0.06840443866</v>
      </c>
      <c r="F318" s="89">
        <f t="shared" si="210"/>
        <v>4042.371042</v>
      </c>
      <c r="G318" s="81">
        <v>5946.0</v>
      </c>
      <c r="H318" s="81">
        <f t="shared" si="211"/>
        <v>1903.628958</v>
      </c>
      <c r="I318" s="25">
        <f t="shared" si="212"/>
        <v>3685.519019</v>
      </c>
      <c r="J318" s="64">
        <f>C318*'Rate Codes'!$D$7</f>
        <v>53.490035</v>
      </c>
      <c r="K318" s="25">
        <f>I318*'Rate Codes'!$D$8</f>
        <v>47.73852786</v>
      </c>
      <c r="L318" s="65">
        <f t="shared" si="213"/>
        <v>101.2285629</v>
      </c>
      <c r="M318" s="66">
        <f>I318*'Rate Codes'!$D$8</f>
        <v>47.73852786</v>
      </c>
      <c r="N318" s="67">
        <f t="shared" si="214"/>
        <v>131.1600352</v>
      </c>
      <c r="O318" s="25">
        <f t="shared" si="215"/>
        <v>148.9670907</v>
      </c>
      <c r="P318" s="81">
        <f t="shared" si="216"/>
        <v>280.1271259</v>
      </c>
      <c r="Q318" s="25">
        <f t="shared" si="217"/>
        <v>14.0063563</v>
      </c>
      <c r="R318" s="81">
        <f t="shared" si="218"/>
        <v>294.1334822</v>
      </c>
    </row>
    <row r="319">
      <c r="A319" s="12"/>
      <c r="B319" s="80" t="s">
        <v>126</v>
      </c>
      <c r="C319" s="87">
        <v>30.0</v>
      </c>
      <c r="D319" s="86">
        <v>0.63125</v>
      </c>
      <c r="E319" s="88">
        <v>0.0271408052</v>
      </c>
      <c r="F319" s="89">
        <f t="shared" si="210"/>
        <v>1603.890144</v>
      </c>
      <c r="G319" s="81">
        <v>5587.0</v>
      </c>
      <c r="H319" s="81">
        <f t="shared" si="211"/>
        <v>3983.109856</v>
      </c>
      <c r="I319" s="25">
        <f t="shared" si="212"/>
        <v>3910.383459</v>
      </c>
      <c r="J319" s="64">
        <f>C319*'Rate Codes'!$D$7</f>
        <v>51.76455</v>
      </c>
      <c r="K319" s="25">
        <f>I319*'Rate Codes'!$D$8</f>
        <v>50.65119694</v>
      </c>
      <c r="L319" s="65">
        <f t="shared" si="213"/>
        <v>102.4157469</v>
      </c>
      <c r="M319" s="66">
        <f>I319*'Rate Codes'!$D$8</f>
        <v>50.65119694</v>
      </c>
      <c r="N319" s="67">
        <f t="shared" si="214"/>
        <v>274.436269</v>
      </c>
      <c r="O319" s="25">
        <f t="shared" si="215"/>
        <v>153.0669439</v>
      </c>
      <c r="P319" s="81">
        <f t="shared" si="216"/>
        <v>427.5032129</v>
      </c>
      <c r="Q319" s="25">
        <f t="shared" si="217"/>
        <v>21.37516065</v>
      </c>
      <c r="R319" s="81">
        <f t="shared" si="218"/>
        <v>448.8783736</v>
      </c>
    </row>
    <row r="320">
      <c r="A320" s="12"/>
      <c r="B320" s="80" t="s">
        <v>127</v>
      </c>
      <c r="C320" s="87">
        <v>31.0</v>
      </c>
      <c r="D320" s="86">
        <v>0.6680541666666667</v>
      </c>
      <c r="E320" s="88">
        <v>0.01559005293</v>
      </c>
      <c r="F320" s="89">
        <f t="shared" si="210"/>
        <v>921.2966256</v>
      </c>
      <c r="G320" s="81">
        <v>5490.0</v>
      </c>
      <c r="H320" s="81">
        <f t="shared" si="211"/>
        <v>4568.703374</v>
      </c>
      <c r="I320" s="25">
        <f t="shared" si="212"/>
        <v>4066.523685</v>
      </c>
      <c r="J320" s="64">
        <f>C320*'Rate Codes'!$D$7</f>
        <v>53.490035</v>
      </c>
      <c r="K320" s="25">
        <f>I320*'Rate Codes'!$D$8</f>
        <v>52.67368129</v>
      </c>
      <c r="L320" s="65">
        <f t="shared" si="213"/>
        <v>106.1637163</v>
      </c>
      <c r="M320" s="66">
        <f>I320*'Rate Codes'!$D$8</f>
        <v>52.67368129</v>
      </c>
      <c r="N320" s="67">
        <f t="shared" si="214"/>
        <v>314.7836625</v>
      </c>
      <c r="O320" s="25">
        <f t="shared" si="215"/>
        <v>158.8373976</v>
      </c>
      <c r="P320" s="81">
        <f t="shared" si="216"/>
        <v>473.6210601</v>
      </c>
      <c r="Q320" s="25">
        <f t="shared" si="217"/>
        <v>23.681053</v>
      </c>
      <c r="R320" s="81">
        <f t="shared" si="218"/>
        <v>497.3021131</v>
      </c>
    </row>
    <row r="321">
      <c r="A321" s="12"/>
      <c r="B321" s="77" t="s">
        <v>109</v>
      </c>
      <c r="C321" s="82"/>
      <c r="D321" s="83"/>
      <c r="E321" s="83">
        <f t="shared" ref="E321:N321" si="219">SUM(E309:E320)</f>
        <v>1</v>
      </c>
      <c r="F321" s="84">
        <f t="shared" si="219"/>
        <v>59095.157</v>
      </c>
      <c r="G321" s="85">
        <f t="shared" si="219"/>
        <v>66307</v>
      </c>
      <c r="H321" s="85">
        <f t="shared" si="219"/>
        <v>7211.842997</v>
      </c>
      <c r="I321" s="48">
        <f t="shared" si="219"/>
        <v>36064.04238</v>
      </c>
      <c r="J321" s="85">
        <f t="shared" si="219"/>
        <v>629.802025</v>
      </c>
      <c r="K321" s="85">
        <f t="shared" si="219"/>
        <v>467.137541</v>
      </c>
      <c r="L321" s="85">
        <f t="shared" si="219"/>
        <v>1096.939566</v>
      </c>
      <c r="M321" s="85">
        <f t="shared" si="219"/>
        <v>467.137541</v>
      </c>
      <c r="N321" s="85">
        <f t="shared" si="219"/>
        <v>-2089.013959</v>
      </c>
      <c r="O321" s="48">
        <f t="shared" si="215"/>
        <v>1564.077107</v>
      </c>
      <c r="P321" s="85">
        <f t="shared" ref="P321:R321" si="220">SUM(P309:P320)</f>
        <v>-524.9368521</v>
      </c>
      <c r="Q321" s="85">
        <f t="shared" si="220"/>
        <v>137.1676118</v>
      </c>
      <c r="R321" s="85">
        <f t="shared" si="220"/>
        <v>-387.7692403</v>
      </c>
    </row>
    <row r="323">
      <c r="A323" s="76">
        <v>20.0</v>
      </c>
      <c r="B323" s="12" t="s">
        <v>128</v>
      </c>
      <c r="C323" s="12"/>
      <c r="D323" s="15"/>
      <c r="E323" s="15">
        <f>$E$1* POWER((1 -$H$1),A323)</f>
        <v>58799.68122</v>
      </c>
      <c r="F323" s="1" t="s">
        <v>132</v>
      </c>
      <c r="G323" s="8">
        <f>E323/G337</f>
        <v>0.8867793931</v>
      </c>
      <c r="H323" s="1" t="s">
        <v>133</v>
      </c>
      <c r="I323" s="6">
        <f>1-G323</f>
        <v>0.1132206069</v>
      </c>
      <c r="J323" s="12" t="s">
        <v>74</v>
      </c>
      <c r="M323" s="12" t="s">
        <v>78</v>
      </c>
      <c r="N323" s="12"/>
      <c r="O323" s="12"/>
      <c r="P323" s="12"/>
      <c r="Q323" s="12"/>
      <c r="R323" s="12"/>
    </row>
    <row r="324">
      <c r="A324" s="12"/>
      <c r="B324" s="77" t="s">
        <v>83</v>
      </c>
      <c r="C324" s="78" t="s">
        <v>88</v>
      </c>
      <c r="D324" s="44" t="s">
        <v>87</v>
      </c>
      <c r="E324" s="77" t="s">
        <v>140</v>
      </c>
      <c r="F324" s="77" t="s">
        <v>135</v>
      </c>
      <c r="G324" s="78" t="s">
        <v>89</v>
      </c>
      <c r="H324" s="78" t="s">
        <v>138</v>
      </c>
      <c r="I324" s="20" t="s">
        <v>139</v>
      </c>
      <c r="J324" s="78" t="s">
        <v>76</v>
      </c>
      <c r="K324" s="78" t="s">
        <v>82</v>
      </c>
      <c r="L324" s="78" t="s">
        <v>109</v>
      </c>
      <c r="M324" s="78" t="s">
        <v>80</v>
      </c>
      <c r="N324" s="78" t="s">
        <v>67</v>
      </c>
      <c r="O324" s="45" t="s">
        <v>114</v>
      </c>
      <c r="P324" s="79" t="s">
        <v>115</v>
      </c>
      <c r="Q324" s="79" t="s">
        <v>60</v>
      </c>
      <c r="R324" s="79" t="s">
        <v>109</v>
      </c>
    </row>
    <row r="325">
      <c r="A325" s="12"/>
      <c r="B325" s="80" t="s">
        <v>117</v>
      </c>
      <c r="C325" s="87">
        <v>31.0</v>
      </c>
      <c r="D325" s="86">
        <v>0.6479166666666667</v>
      </c>
      <c r="E325" s="88">
        <v>0.02731296772</v>
      </c>
      <c r="F325" s="89">
        <f t="shared" ref="F325:F336" si="221">$E$323*E325</f>
        <v>1605.993795</v>
      </c>
      <c r="G325" s="81">
        <v>5726.0</v>
      </c>
      <c r="H325" s="81">
        <f t="shared" ref="H325:H336" si="222">G325-F325</f>
        <v>4120.006205</v>
      </c>
      <c r="I325" s="25">
        <f t="shared" ref="I325:I336" si="223">D325*G325*(1+$I$323)</f>
        <v>4130.015983</v>
      </c>
      <c r="J325" s="64">
        <f>C325*'Rate Codes'!$D$7</f>
        <v>53.490035</v>
      </c>
      <c r="K325" s="25">
        <f>I325*'Rate Codes'!$D$8</f>
        <v>53.49609702</v>
      </c>
      <c r="L325" s="65">
        <f t="shared" ref="L325:L336" si="224">SUM(J325:K325)</f>
        <v>106.986132</v>
      </c>
      <c r="M325" s="66">
        <f>I325*'Rate Codes'!$D$8</f>
        <v>53.49609702</v>
      </c>
      <c r="N325" s="67">
        <f t="shared" ref="N325:N336" si="225">H325*IF(D325&gt;51%,0.0689,0.33)</f>
        <v>283.8684275</v>
      </c>
      <c r="O325" s="25">
        <f t="shared" ref="O325:O337" si="226">L325+M325</f>
        <v>160.482229</v>
      </c>
      <c r="P325" s="81">
        <f t="shared" ref="P325:P336" si="227">N325+L325+M325</f>
        <v>444.3506566</v>
      </c>
      <c r="Q325" s="25">
        <f t="shared" ref="Q325:Q336" si="228">(IF(N325&gt;0,N325,0)+O325)*0.05</f>
        <v>22.21753283</v>
      </c>
      <c r="R325" s="81">
        <f t="shared" ref="R325:R336" si="229">P325+Q325</f>
        <v>466.5681894</v>
      </c>
    </row>
    <row r="326">
      <c r="A326" s="12"/>
      <c r="B326" s="80" t="s">
        <v>118</v>
      </c>
      <c r="C326" s="87">
        <v>28.0</v>
      </c>
      <c r="D326" s="86">
        <v>0.5868041666666667</v>
      </c>
      <c r="E326" s="88">
        <v>0.04620731865</v>
      </c>
      <c r="F326" s="89">
        <f t="shared" si="221"/>
        <v>2716.975607</v>
      </c>
      <c r="G326" s="81">
        <v>5279.0</v>
      </c>
      <c r="H326" s="81">
        <f t="shared" si="222"/>
        <v>2562.024393</v>
      </c>
      <c r="I326" s="25">
        <f t="shared" si="223"/>
        <v>3448.467108</v>
      </c>
      <c r="J326" s="64">
        <f>C326*'Rate Codes'!$D$7</f>
        <v>48.31358</v>
      </c>
      <c r="K326" s="25">
        <f>I326*'Rate Codes'!$D$8</f>
        <v>44.66799445</v>
      </c>
      <c r="L326" s="65">
        <f t="shared" si="224"/>
        <v>92.98157445</v>
      </c>
      <c r="M326" s="66">
        <f>I326*'Rate Codes'!$D$8</f>
        <v>44.66799445</v>
      </c>
      <c r="N326" s="67">
        <f t="shared" si="225"/>
        <v>176.5234807</v>
      </c>
      <c r="O326" s="25">
        <f t="shared" si="226"/>
        <v>137.6495689</v>
      </c>
      <c r="P326" s="81">
        <f t="shared" si="227"/>
        <v>314.1730496</v>
      </c>
      <c r="Q326" s="25">
        <f t="shared" si="228"/>
        <v>15.70865248</v>
      </c>
      <c r="R326" s="81">
        <f t="shared" si="229"/>
        <v>329.8817021</v>
      </c>
    </row>
    <row r="327">
      <c r="A327" s="12"/>
      <c r="B327" s="80" t="s">
        <v>119</v>
      </c>
      <c r="C327" s="87">
        <v>31.0</v>
      </c>
      <c r="D327" s="86">
        <v>0.5083333333333333</v>
      </c>
      <c r="E327" s="88">
        <v>0.08500831624</v>
      </c>
      <c r="F327" s="89">
        <f t="shared" si="221"/>
        <v>4998.461896</v>
      </c>
      <c r="G327" s="81">
        <v>4991.0</v>
      </c>
      <c r="H327" s="81">
        <f t="shared" si="222"/>
        <v>-7.461895778</v>
      </c>
      <c r="I327" s="25">
        <f t="shared" si="223"/>
        <v>2824.342725</v>
      </c>
      <c r="J327" s="64">
        <f>C327*'Rate Codes'!$D$7</f>
        <v>53.490035</v>
      </c>
      <c r="K327" s="25">
        <f>I327*'Rate Codes'!$D$8</f>
        <v>36.58371132</v>
      </c>
      <c r="L327" s="65">
        <f t="shared" si="224"/>
        <v>90.07374632</v>
      </c>
      <c r="M327" s="66">
        <f>I327*'Rate Codes'!$D$8</f>
        <v>36.58371132</v>
      </c>
      <c r="N327" s="67">
        <f t="shared" si="225"/>
        <v>-2.462425607</v>
      </c>
      <c r="O327" s="25">
        <f t="shared" si="226"/>
        <v>126.6574576</v>
      </c>
      <c r="P327" s="81">
        <f t="shared" si="227"/>
        <v>124.195032</v>
      </c>
      <c r="Q327" s="25">
        <f t="shared" si="228"/>
        <v>6.332872882</v>
      </c>
      <c r="R327" s="81">
        <f t="shared" si="229"/>
        <v>130.5279049</v>
      </c>
    </row>
    <row r="328">
      <c r="A328" s="12"/>
      <c r="B328" s="80" t="s">
        <v>120</v>
      </c>
      <c r="C328" s="87">
        <v>30.0</v>
      </c>
      <c r="D328" s="86">
        <v>0.425</v>
      </c>
      <c r="E328" s="88">
        <v>0.108773175</v>
      </c>
      <c r="F328" s="89">
        <f t="shared" si="221"/>
        <v>6395.828015</v>
      </c>
      <c r="G328" s="81">
        <v>4952.0</v>
      </c>
      <c r="H328" s="81">
        <f t="shared" si="222"/>
        <v>-1443.828015</v>
      </c>
      <c r="I328" s="25">
        <f t="shared" si="223"/>
        <v>2342.884089</v>
      </c>
      <c r="J328" s="64">
        <f>C328*'Rate Codes'!$D$7</f>
        <v>51.76455</v>
      </c>
      <c r="K328" s="25">
        <f>I328*'Rate Codes'!$D$8</f>
        <v>30.34737761</v>
      </c>
      <c r="L328" s="65">
        <f t="shared" si="224"/>
        <v>82.11192761</v>
      </c>
      <c r="M328" s="66">
        <f>I328*'Rate Codes'!$D$8</f>
        <v>30.34737761</v>
      </c>
      <c r="N328" s="67">
        <f t="shared" si="225"/>
        <v>-476.463245</v>
      </c>
      <c r="O328" s="25">
        <f t="shared" si="226"/>
        <v>112.4593052</v>
      </c>
      <c r="P328" s="81">
        <f t="shared" si="227"/>
        <v>-364.0039398</v>
      </c>
      <c r="Q328" s="25">
        <f t="shared" si="228"/>
        <v>5.622965261</v>
      </c>
      <c r="R328" s="81">
        <f t="shared" si="229"/>
        <v>-358.3809745</v>
      </c>
    </row>
    <row r="329">
      <c r="A329" s="12"/>
      <c r="B329" s="80" t="s">
        <v>98</v>
      </c>
      <c r="C329" s="87">
        <v>31.0</v>
      </c>
      <c r="D329" s="86">
        <v>0.35277916666666664</v>
      </c>
      <c r="E329" s="88">
        <v>0.1281742617</v>
      </c>
      <c r="F329" s="89">
        <f t="shared" si="221"/>
        <v>7536.605728</v>
      </c>
      <c r="G329" s="81">
        <v>5559.0</v>
      </c>
      <c r="H329" s="81">
        <f t="shared" si="222"/>
        <v>-1977.605728</v>
      </c>
      <c r="I329" s="25">
        <f t="shared" si="223"/>
        <v>2183.13625</v>
      </c>
      <c r="J329" s="64">
        <f>C329*'Rate Codes'!$D$7</f>
        <v>53.490035</v>
      </c>
      <c r="K329" s="25">
        <f>I329*'Rate Codes'!$D$8</f>
        <v>28.27816385</v>
      </c>
      <c r="L329" s="65">
        <f t="shared" si="224"/>
        <v>81.76819885</v>
      </c>
      <c r="M329" s="66">
        <f>I329*'Rate Codes'!$D$8</f>
        <v>28.27816385</v>
      </c>
      <c r="N329" s="67">
        <f t="shared" si="225"/>
        <v>-652.6098903</v>
      </c>
      <c r="O329" s="25">
        <f t="shared" si="226"/>
        <v>110.0463627</v>
      </c>
      <c r="P329" s="81">
        <f t="shared" si="227"/>
        <v>-542.5635276</v>
      </c>
      <c r="Q329" s="25">
        <f t="shared" si="228"/>
        <v>5.502318135</v>
      </c>
      <c r="R329" s="81">
        <f t="shared" si="229"/>
        <v>-537.0612095</v>
      </c>
    </row>
    <row r="330">
      <c r="A330" s="12"/>
      <c r="B330" s="80" t="s">
        <v>121</v>
      </c>
      <c r="C330" s="87">
        <v>30.0</v>
      </c>
      <c r="D330" s="86">
        <v>0.31388750000000004</v>
      </c>
      <c r="E330" s="88">
        <v>0.1254860808</v>
      </c>
      <c r="F330" s="89">
        <f t="shared" si="221"/>
        <v>7378.541548</v>
      </c>
      <c r="G330" s="81">
        <v>4964.0</v>
      </c>
      <c r="H330" s="81">
        <f t="shared" si="222"/>
        <v>-2414.541548</v>
      </c>
      <c r="I330" s="25">
        <f t="shared" si="223"/>
        <v>1734.550829</v>
      </c>
      <c r="J330" s="64">
        <f>C330*'Rate Codes'!$D$7</f>
        <v>51.76455</v>
      </c>
      <c r="K330" s="25">
        <f>I330*'Rate Codes'!$D$8</f>
        <v>22.46763689</v>
      </c>
      <c r="L330" s="65">
        <f t="shared" si="224"/>
        <v>74.23218689</v>
      </c>
      <c r="M330" s="66">
        <f>I330*'Rate Codes'!$D$8</f>
        <v>22.46763689</v>
      </c>
      <c r="N330" s="67">
        <f t="shared" si="225"/>
        <v>-796.7987109</v>
      </c>
      <c r="O330" s="25">
        <f t="shared" si="226"/>
        <v>96.69982378</v>
      </c>
      <c r="P330" s="81">
        <f t="shared" si="227"/>
        <v>-700.0988872</v>
      </c>
      <c r="Q330" s="25">
        <f t="shared" si="228"/>
        <v>4.834991189</v>
      </c>
      <c r="R330" s="81">
        <f t="shared" si="229"/>
        <v>-695.263896</v>
      </c>
    </row>
    <row r="331">
      <c r="A331" s="12"/>
      <c r="B331" s="80" t="s">
        <v>122</v>
      </c>
      <c r="C331" s="87">
        <v>31.0</v>
      </c>
      <c r="D331" s="86">
        <v>0.33125</v>
      </c>
      <c r="E331" s="88">
        <v>0.1449493112</v>
      </c>
      <c r="F331" s="89">
        <f t="shared" si="221"/>
        <v>8522.973291</v>
      </c>
      <c r="G331" s="81">
        <v>6634.0</v>
      </c>
      <c r="H331" s="81">
        <f t="shared" si="222"/>
        <v>-1888.973291</v>
      </c>
      <c r="I331" s="25">
        <f t="shared" si="223"/>
        <v>2446.316199</v>
      </c>
      <c r="J331" s="64">
        <f>C331*'Rate Codes'!$D$7</f>
        <v>53.490035</v>
      </c>
      <c r="K331" s="25">
        <f>I331*'Rate Codes'!$D$8</f>
        <v>31.68713372</v>
      </c>
      <c r="L331" s="65">
        <f t="shared" si="224"/>
        <v>85.17716872</v>
      </c>
      <c r="M331" s="66">
        <f>I331*'Rate Codes'!$D$8</f>
        <v>31.68713372</v>
      </c>
      <c r="N331" s="67">
        <f t="shared" si="225"/>
        <v>-623.3611861</v>
      </c>
      <c r="O331" s="25">
        <f t="shared" si="226"/>
        <v>116.8643024</v>
      </c>
      <c r="P331" s="81">
        <f t="shared" si="227"/>
        <v>-506.4968837</v>
      </c>
      <c r="Q331" s="25">
        <f t="shared" si="228"/>
        <v>5.843215122</v>
      </c>
      <c r="R331" s="81">
        <f t="shared" si="229"/>
        <v>-500.6536686</v>
      </c>
    </row>
    <row r="332">
      <c r="A332" s="12"/>
      <c r="B332" s="80" t="s">
        <v>123</v>
      </c>
      <c r="C332" s="87">
        <v>31.0</v>
      </c>
      <c r="D332" s="86">
        <v>0.3951375</v>
      </c>
      <c r="E332" s="88">
        <v>0.1246952409</v>
      </c>
      <c r="F332" s="89">
        <f t="shared" si="221"/>
        <v>7332.040414</v>
      </c>
      <c r="G332" s="81">
        <v>5909.0</v>
      </c>
      <c r="H332" s="81">
        <f t="shared" si="222"/>
        <v>-1423.040414</v>
      </c>
      <c r="I332" s="25">
        <f t="shared" si="223"/>
        <v>2599.222601</v>
      </c>
      <c r="J332" s="64">
        <f>C332*'Rate Codes'!$D$7</f>
        <v>53.490035</v>
      </c>
      <c r="K332" s="25">
        <f>I332*'Rate Codes'!$D$8</f>
        <v>33.66773036</v>
      </c>
      <c r="L332" s="65">
        <f t="shared" si="224"/>
        <v>87.15776536</v>
      </c>
      <c r="M332" s="66">
        <f>I332*'Rate Codes'!$D$8</f>
        <v>33.66773036</v>
      </c>
      <c r="N332" s="67">
        <f t="shared" si="225"/>
        <v>-469.6033367</v>
      </c>
      <c r="O332" s="25">
        <f t="shared" si="226"/>
        <v>120.8254957</v>
      </c>
      <c r="P332" s="81">
        <f t="shared" si="227"/>
        <v>-348.777841</v>
      </c>
      <c r="Q332" s="25">
        <f t="shared" si="228"/>
        <v>6.041274786</v>
      </c>
      <c r="R332" s="81">
        <f t="shared" si="229"/>
        <v>-342.7365662</v>
      </c>
    </row>
    <row r="333">
      <c r="A333" s="12"/>
      <c r="B333" s="80" t="s">
        <v>124</v>
      </c>
      <c r="C333" s="87">
        <v>30.0</v>
      </c>
      <c r="D333" s="86">
        <v>0.4756958333333334</v>
      </c>
      <c r="E333" s="88">
        <v>0.09825803101</v>
      </c>
      <c r="F333" s="89">
        <f t="shared" si="221"/>
        <v>5777.5409</v>
      </c>
      <c r="G333" s="81">
        <v>5270.0</v>
      </c>
      <c r="H333" s="81">
        <f t="shared" si="222"/>
        <v>-507.5409005</v>
      </c>
      <c r="I333" s="25">
        <f t="shared" si="223"/>
        <v>2790.751711</v>
      </c>
      <c r="J333" s="64">
        <f>C333*'Rate Codes'!$D$7</f>
        <v>51.76455</v>
      </c>
      <c r="K333" s="25">
        <f>I333*'Rate Codes'!$D$8</f>
        <v>36.14860691</v>
      </c>
      <c r="L333" s="65">
        <f t="shared" si="224"/>
        <v>87.91315691</v>
      </c>
      <c r="M333" s="66">
        <f>I333*'Rate Codes'!$D$8</f>
        <v>36.14860691</v>
      </c>
      <c r="N333" s="67">
        <f t="shared" si="225"/>
        <v>-167.4884972</v>
      </c>
      <c r="O333" s="25">
        <f t="shared" si="226"/>
        <v>124.0617638</v>
      </c>
      <c r="P333" s="81">
        <f t="shared" si="227"/>
        <v>-43.42673334</v>
      </c>
      <c r="Q333" s="25">
        <f t="shared" si="228"/>
        <v>6.203088191</v>
      </c>
      <c r="R333" s="81">
        <f t="shared" si="229"/>
        <v>-37.22364515</v>
      </c>
    </row>
    <row r="334">
      <c r="A334" s="12"/>
      <c r="B334" s="80" t="s">
        <v>125</v>
      </c>
      <c r="C334" s="87">
        <v>31.0</v>
      </c>
      <c r="D334" s="86">
        <v>0.5590291666666667</v>
      </c>
      <c r="E334" s="88">
        <v>0.06840443866</v>
      </c>
      <c r="F334" s="89">
        <f t="shared" si="221"/>
        <v>4022.159187</v>
      </c>
      <c r="G334" s="81">
        <v>5946.0</v>
      </c>
      <c r="H334" s="81">
        <f t="shared" si="222"/>
        <v>1923.840813</v>
      </c>
      <c r="I334" s="25">
        <f t="shared" si="223"/>
        <v>3700.331299</v>
      </c>
      <c r="J334" s="64">
        <f>C334*'Rate Codes'!$D$7</f>
        <v>53.490035</v>
      </c>
      <c r="K334" s="25">
        <f>I334*'Rate Codes'!$D$8</f>
        <v>47.93039131</v>
      </c>
      <c r="L334" s="65">
        <f t="shared" si="224"/>
        <v>101.4204263</v>
      </c>
      <c r="M334" s="66">
        <f>I334*'Rate Codes'!$D$8</f>
        <v>47.93039131</v>
      </c>
      <c r="N334" s="67">
        <f t="shared" si="225"/>
        <v>132.552632</v>
      </c>
      <c r="O334" s="25">
        <f t="shared" si="226"/>
        <v>149.3508176</v>
      </c>
      <c r="P334" s="81">
        <f t="shared" si="227"/>
        <v>281.9034496</v>
      </c>
      <c r="Q334" s="25">
        <f t="shared" si="228"/>
        <v>14.09517248</v>
      </c>
      <c r="R334" s="81">
        <f t="shared" si="229"/>
        <v>295.9986221</v>
      </c>
    </row>
    <row r="335">
      <c r="A335" s="12"/>
      <c r="B335" s="80" t="s">
        <v>126</v>
      </c>
      <c r="C335" s="87">
        <v>30.0</v>
      </c>
      <c r="D335" s="86">
        <v>0.63125</v>
      </c>
      <c r="E335" s="88">
        <v>0.0271408052</v>
      </c>
      <c r="F335" s="89">
        <f t="shared" si="221"/>
        <v>1595.870694</v>
      </c>
      <c r="G335" s="81">
        <v>5587.0</v>
      </c>
      <c r="H335" s="81">
        <f t="shared" si="222"/>
        <v>3991.129306</v>
      </c>
      <c r="I335" s="25">
        <f t="shared" si="223"/>
        <v>3926.099479</v>
      </c>
      <c r="J335" s="64">
        <f>C335*'Rate Codes'!$D$7</f>
        <v>51.76455</v>
      </c>
      <c r="K335" s="25">
        <f>I335*'Rate Codes'!$D$8</f>
        <v>50.85476655</v>
      </c>
      <c r="L335" s="65">
        <f t="shared" si="224"/>
        <v>102.6193165</v>
      </c>
      <c r="M335" s="66">
        <f>I335*'Rate Codes'!$D$8</f>
        <v>50.85476655</v>
      </c>
      <c r="N335" s="67">
        <f t="shared" si="225"/>
        <v>274.9888092</v>
      </c>
      <c r="O335" s="25">
        <f t="shared" si="226"/>
        <v>153.4740831</v>
      </c>
      <c r="P335" s="81">
        <f t="shared" si="227"/>
        <v>428.4628923</v>
      </c>
      <c r="Q335" s="25">
        <f t="shared" si="228"/>
        <v>21.42314461</v>
      </c>
      <c r="R335" s="81">
        <f t="shared" si="229"/>
        <v>449.8860369</v>
      </c>
    </row>
    <row r="336">
      <c r="A336" s="12"/>
      <c r="B336" s="80" t="s">
        <v>127</v>
      </c>
      <c r="C336" s="87">
        <v>31.0</v>
      </c>
      <c r="D336" s="86">
        <v>0.6680541666666667</v>
      </c>
      <c r="E336" s="88">
        <v>0.01559005293</v>
      </c>
      <c r="F336" s="89">
        <f t="shared" si="221"/>
        <v>916.6901425</v>
      </c>
      <c r="G336" s="81">
        <v>5490.0</v>
      </c>
      <c r="H336" s="81">
        <f t="shared" si="222"/>
        <v>4573.309858</v>
      </c>
      <c r="I336" s="25">
        <f t="shared" si="223"/>
        <v>4082.86724</v>
      </c>
      <c r="J336" s="64">
        <f>C336*'Rate Codes'!$D$7</f>
        <v>53.490035</v>
      </c>
      <c r="K336" s="25">
        <f>I336*'Rate Codes'!$D$8</f>
        <v>52.88537936</v>
      </c>
      <c r="L336" s="65">
        <f t="shared" si="224"/>
        <v>106.3754144</v>
      </c>
      <c r="M336" s="66">
        <f>I336*'Rate Codes'!$D$8</f>
        <v>52.88537936</v>
      </c>
      <c r="N336" s="67">
        <f t="shared" si="225"/>
        <v>315.1010492</v>
      </c>
      <c r="O336" s="25">
        <f t="shared" si="226"/>
        <v>159.2607937</v>
      </c>
      <c r="P336" s="81">
        <f t="shared" si="227"/>
        <v>474.3618429</v>
      </c>
      <c r="Q336" s="25">
        <f t="shared" si="228"/>
        <v>23.71809215</v>
      </c>
      <c r="R336" s="81">
        <f t="shared" si="229"/>
        <v>498.0799351</v>
      </c>
    </row>
    <row r="337">
      <c r="A337" s="12"/>
      <c r="B337" s="77" t="s">
        <v>109</v>
      </c>
      <c r="C337" s="82"/>
      <c r="D337" s="83"/>
      <c r="E337" s="83">
        <f t="shared" ref="E337:N337" si="230">SUM(E325:E336)</f>
        <v>1</v>
      </c>
      <c r="F337" s="84">
        <f t="shared" si="230"/>
        <v>58799.68122</v>
      </c>
      <c r="G337" s="85">
        <f t="shared" si="230"/>
        <v>66307</v>
      </c>
      <c r="H337" s="85">
        <f t="shared" si="230"/>
        <v>7507.318782</v>
      </c>
      <c r="I337" s="48">
        <f t="shared" si="230"/>
        <v>36208.98551</v>
      </c>
      <c r="J337" s="85">
        <f t="shared" si="230"/>
        <v>629.802025</v>
      </c>
      <c r="K337" s="85">
        <f t="shared" si="230"/>
        <v>469.0149893</v>
      </c>
      <c r="L337" s="85">
        <f t="shared" si="230"/>
        <v>1098.817014</v>
      </c>
      <c r="M337" s="85">
        <f t="shared" si="230"/>
        <v>469.0149893</v>
      </c>
      <c r="N337" s="85">
        <f t="shared" si="230"/>
        <v>-2005.752893</v>
      </c>
      <c r="O337" s="48">
        <f t="shared" si="226"/>
        <v>1567.832004</v>
      </c>
      <c r="P337" s="85">
        <f t="shared" ref="P337:R337" si="231">SUM(P325:P336)</f>
        <v>-437.9208896</v>
      </c>
      <c r="Q337" s="85">
        <f t="shared" si="231"/>
        <v>137.5433201</v>
      </c>
      <c r="R337" s="85">
        <f t="shared" si="231"/>
        <v>-300.3775694</v>
      </c>
    </row>
    <row r="339">
      <c r="A339" s="76">
        <v>21.0</v>
      </c>
      <c r="B339" s="12" t="s">
        <v>128</v>
      </c>
      <c r="C339" s="12"/>
      <c r="D339" s="15"/>
      <c r="E339" s="15">
        <f>$E$1* POWER((1 -$H$1),A339)</f>
        <v>58505.68281</v>
      </c>
      <c r="F339" s="1" t="s">
        <v>132</v>
      </c>
      <c r="G339" s="8">
        <f>E339/G353</f>
        <v>0.8823454961</v>
      </c>
      <c r="H339" s="1" t="s">
        <v>133</v>
      </c>
      <c r="I339" s="6">
        <f>1-G339</f>
        <v>0.1176545039</v>
      </c>
      <c r="J339" s="12" t="s">
        <v>74</v>
      </c>
      <c r="M339" s="12" t="s">
        <v>78</v>
      </c>
      <c r="N339" s="12"/>
      <c r="O339" s="12"/>
      <c r="P339" s="12"/>
      <c r="Q339" s="12"/>
      <c r="R339" s="12"/>
    </row>
    <row r="340">
      <c r="A340" s="12"/>
      <c r="B340" s="77" t="s">
        <v>83</v>
      </c>
      <c r="C340" s="78" t="s">
        <v>88</v>
      </c>
      <c r="D340" s="44" t="s">
        <v>87</v>
      </c>
      <c r="E340" s="77" t="s">
        <v>140</v>
      </c>
      <c r="F340" s="77" t="s">
        <v>135</v>
      </c>
      <c r="G340" s="78" t="s">
        <v>89</v>
      </c>
      <c r="H340" s="78" t="s">
        <v>138</v>
      </c>
      <c r="I340" s="20" t="s">
        <v>139</v>
      </c>
      <c r="J340" s="78" t="s">
        <v>76</v>
      </c>
      <c r="K340" s="78" t="s">
        <v>82</v>
      </c>
      <c r="L340" s="78" t="s">
        <v>109</v>
      </c>
      <c r="M340" s="78" t="s">
        <v>80</v>
      </c>
      <c r="N340" s="78" t="s">
        <v>67</v>
      </c>
      <c r="O340" s="45" t="s">
        <v>114</v>
      </c>
      <c r="P340" s="79" t="s">
        <v>115</v>
      </c>
      <c r="Q340" s="79" t="s">
        <v>60</v>
      </c>
      <c r="R340" s="79" t="s">
        <v>109</v>
      </c>
    </row>
    <row r="341">
      <c r="A341" s="12"/>
      <c r="B341" s="80" t="s">
        <v>117</v>
      </c>
      <c r="C341" s="87">
        <v>31.0</v>
      </c>
      <c r="D341" s="86">
        <v>0.6479166666666667</v>
      </c>
      <c r="E341" s="88">
        <v>0.02731296772</v>
      </c>
      <c r="F341" s="89">
        <f t="shared" ref="F341:F352" si="232">$E$339*E341</f>
        <v>1597.963826</v>
      </c>
      <c r="G341" s="81">
        <v>5726.0</v>
      </c>
      <c r="H341" s="81">
        <f t="shared" ref="H341:H352" si="233">G341-F341</f>
        <v>4128.036174</v>
      </c>
      <c r="I341" s="25">
        <f t="shared" ref="I341:I352" si="234">D341*G341*(1+$I$339)</f>
        <v>4146.465611</v>
      </c>
      <c r="J341" s="64">
        <f>C341*'Rate Codes'!$D$7</f>
        <v>53.490035</v>
      </c>
      <c r="K341" s="25">
        <f>I341*'Rate Codes'!$D$8</f>
        <v>53.70916906</v>
      </c>
      <c r="L341" s="65">
        <f t="shared" ref="L341:L352" si="235">SUM(J341:K341)</f>
        <v>107.1992041</v>
      </c>
      <c r="M341" s="66">
        <f>I341*'Rate Codes'!$D$8</f>
        <v>53.70916906</v>
      </c>
      <c r="N341" s="67">
        <f t="shared" ref="N341:N352" si="236">H341*IF(D341&gt;51%,0.0689,0.33)</f>
        <v>284.4216924</v>
      </c>
      <c r="O341" s="25">
        <f t="shared" ref="O341:O353" si="237">L341+M341</f>
        <v>160.9083731</v>
      </c>
      <c r="P341" s="81">
        <f t="shared" ref="P341:P352" si="238">N341+L341+M341</f>
        <v>445.3300655</v>
      </c>
      <c r="Q341" s="25">
        <f t="shared" ref="Q341:Q352" si="239">(IF(N341&gt;0,N341,0)+O341)*0.05</f>
        <v>22.26650328</v>
      </c>
      <c r="R341" s="81">
        <f t="shared" ref="R341:R352" si="240">P341+Q341</f>
        <v>467.5965688</v>
      </c>
    </row>
    <row r="342">
      <c r="A342" s="12"/>
      <c r="B342" s="80" t="s">
        <v>118</v>
      </c>
      <c r="C342" s="87">
        <v>28.0</v>
      </c>
      <c r="D342" s="86">
        <v>0.5868041666666667</v>
      </c>
      <c r="E342" s="88">
        <v>0.04620731865</v>
      </c>
      <c r="F342" s="89">
        <f t="shared" si="232"/>
        <v>2703.390729</v>
      </c>
      <c r="G342" s="81">
        <v>5279.0</v>
      </c>
      <c r="H342" s="81">
        <f t="shared" si="233"/>
        <v>2575.609271</v>
      </c>
      <c r="I342" s="25">
        <f t="shared" si="234"/>
        <v>3462.202164</v>
      </c>
      <c r="J342" s="64">
        <f>C342*'Rate Codes'!$D$7</f>
        <v>48.31358</v>
      </c>
      <c r="K342" s="25">
        <f>I342*'Rate Codes'!$D$8</f>
        <v>44.84590463</v>
      </c>
      <c r="L342" s="65">
        <f t="shared" si="235"/>
        <v>93.15948463</v>
      </c>
      <c r="M342" s="66">
        <f>I342*'Rate Codes'!$D$8</f>
        <v>44.84590463</v>
      </c>
      <c r="N342" s="67">
        <f t="shared" si="236"/>
        <v>177.4594788</v>
      </c>
      <c r="O342" s="25">
        <f t="shared" si="237"/>
        <v>138.0053893</v>
      </c>
      <c r="P342" s="81">
        <f t="shared" si="238"/>
        <v>315.4648681</v>
      </c>
      <c r="Q342" s="25">
        <f t="shared" si="239"/>
        <v>15.7732434</v>
      </c>
      <c r="R342" s="81">
        <f t="shared" si="240"/>
        <v>331.2381115</v>
      </c>
    </row>
    <row r="343">
      <c r="A343" s="12"/>
      <c r="B343" s="80" t="s">
        <v>119</v>
      </c>
      <c r="C343" s="87">
        <v>31.0</v>
      </c>
      <c r="D343" s="86">
        <v>0.5083333333333333</v>
      </c>
      <c r="E343" s="88">
        <v>0.08500831624</v>
      </c>
      <c r="F343" s="89">
        <f t="shared" si="232"/>
        <v>4973.469586</v>
      </c>
      <c r="G343" s="81">
        <v>4991.0</v>
      </c>
      <c r="H343" s="81">
        <f t="shared" si="233"/>
        <v>17.5304137</v>
      </c>
      <c r="I343" s="25">
        <f t="shared" si="234"/>
        <v>2835.591928</v>
      </c>
      <c r="J343" s="64">
        <f>C343*'Rate Codes'!$D$7</f>
        <v>53.490035</v>
      </c>
      <c r="K343" s="25">
        <f>I343*'Rate Codes'!$D$8</f>
        <v>36.72942224</v>
      </c>
      <c r="L343" s="65">
        <f t="shared" si="235"/>
        <v>90.21945724</v>
      </c>
      <c r="M343" s="66">
        <f>I343*'Rate Codes'!$D$8</f>
        <v>36.72942224</v>
      </c>
      <c r="N343" s="67">
        <f t="shared" si="236"/>
        <v>5.785036521</v>
      </c>
      <c r="O343" s="25">
        <f t="shared" si="237"/>
        <v>126.9488795</v>
      </c>
      <c r="P343" s="81">
        <f t="shared" si="238"/>
        <v>132.733916</v>
      </c>
      <c r="Q343" s="25">
        <f t="shared" si="239"/>
        <v>6.6366958</v>
      </c>
      <c r="R343" s="81">
        <f t="shared" si="240"/>
        <v>139.3706118</v>
      </c>
    </row>
    <row r="344">
      <c r="A344" s="12"/>
      <c r="B344" s="80" t="s">
        <v>120</v>
      </c>
      <c r="C344" s="87">
        <v>30.0</v>
      </c>
      <c r="D344" s="86">
        <v>0.425</v>
      </c>
      <c r="E344" s="88">
        <v>0.108773175</v>
      </c>
      <c r="F344" s="89">
        <f t="shared" si="232"/>
        <v>6363.848875</v>
      </c>
      <c r="G344" s="81">
        <v>4952.0</v>
      </c>
      <c r="H344" s="81">
        <f t="shared" si="233"/>
        <v>-1411.848875</v>
      </c>
      <c r="I344" s="25">
        <f t="shared" si="234"/>
        <v>2352.215669</v>
      </c>
      <c r="J344" s="64">
        <f>C344*'Rate Codes'!$D$7</f>
        <v>51.76455</v>
      </c>
      <c r="K344" s="25">
        <f>I344*'Rate Codes'!$D$8</f>
        <v>30.46824956</v>
      </c>
      <c r="L344" s="65">
        <f t="shared" si="235"/>
        <v>82.23279956</v>
      </c>
      <c r="M344" s="66">
        <f>I344*'Rate Codes'!$D$8</f>
        <v>30.46824956</v>
      </c>
      <c r="N344" s="67">
        <f t="shared" si="236"/>
        <v>-465.9101287</v>
      </c>
      <c r="O344" s="25">
        <f t="shared" si="237"/>
        <v>112.7010491</v>
      </c>
      <c r="P344" s="81">
        <f t="shared" si="238"/>
        <v>-353.2090796</v>
      </c>
      <c r="Q344" s="25">
        <f t="shared" si="239"/>
        <v>5.635052456</v>
      </c>
      <c r="R344" s="81">
        <f t="shared" si="240"/>
        <v>-347.5740272</v>
      </c>
    </row>
    <row r="345">
      <c r="A345" s="12"/>
      <c r="B345" s="80" t="s">
        <v>98</v>
      </c>
      <c r="C345" s="87">
        <v>31.0</v>
      </c>
      <c r="D345" s="86">
        <v>0.35277916666666664</v>
      </c>
      <c r="E345" s="88">
        <v>0.1281742617</v>
      </c>
      <c r="F345" s="89">
        <f t="shared" si="232"/>
        <v>7498.9227</v>
      </c>
      <c r="G345" s="81">
        <v>5559.0</v>
      </c>
      <c r="H345" s="81">
        <f t="shared" si="233"/>
        <v>-1939.9227</v>
      </c>
      <c r="I345" s="25">
        <f t="shared" si="234"/>
        <v>2191.831563</v>
      </c>
      <c r="J345" s="64">
        <f>C345*'Rate Codes'!$D$7</f>
        <v>53.490035</v>
      </c>
      <c r="K345" s="25">
        <f>I345*'Rate Codes'!$D$8</f>
        <v>28.39079424</v>
      </c>
      <c r="L345" s="65">
        <f t="shared" si="235"/>
        <v>81.88082924</v>
      </c>
      <c r="M345" s="66">
        <f>I345*'Rate Codes'!$D$8</f>
        <v>28.39079424</v>
      </c>
      <c r="N345" s="67">
        <f t="shared" si="236"/>
        <v>-640.1744909</v>
      </c>
      <c r="O345" s="25">
        <f t="shared" si="237"/>
        <v>110.2716235</v>
      </c>
      <c r="P345" s="81">
        <f t="shared" si="238"/>
        <v>-529.9028674</v>
      </c>
      <c r="Q345" s="25">
        <f t="shared" si="239"/>
        <v>5.513581174</v>
      </c>
      <c r="R345" s="81">
        <f t="shared" si="240"/>
        <v>-524.3892862</v>
      </c>
    </row>
    <row r="346">
      <c r="A346" s="12"/>
      <c r="B346" s="80" t="s">
        <v>121</v>
      </c>
      <c r="C346" s="87">
        <v>30.0</v>
      </c>
      <c r="D346" s="86">
        <v>0.31388750000000004</v>
      </c>
      <c r="E346" s="88">
        <v>0.1254860808</v>
      </c>
      <c r="F346" s="89">
        <f t="shared" si="232"/>
        <v>7341.648841</v>
      </c>
      <c r="G346" s="81">
        <v>4964.0</v>
      </c>
      <c r="H346" s="81">
        <f t="shared" si="233"/>
        <v>-2377.648841</v>
      </c>
      <c r="I346" s="25">
        <f t="shared" si="234"/>
        <v>1741.45945</v>
      </c>
      <c r="J346" s="64">
        <f>C346*'Rate Codes'!$D$7</f>
        <v>51.76455</v>
      </c>
      <c r="K346" s="25">
        <f>I346*'Rate Codes'!$D$8</f>
        <v>22.55712426</v>
      </c>
      <c r="L346" s="65">
        <f t="shared" si="235"/>
        <v>74.32167426</v>
      </c>
      <c r="M346" s="66">
        <f>I346*'Rate Codes'!$D$8</f>
        <v>22.55712426</v>
      </c>
      <c r="N346" s="67">
        <f t="shared" si="236"/>
        <v>-784.6241174</v>
      </c>
      <c r="O346" s="25">
        <f t="shared" si="237"/>
        <v>96.87879852</v>
      </c>
      <c r="P346" s="81">
        <f t="shared" si="238"/>
        <v>-687.7453189</v>
      </c>
      <c r="Q346" s="25">
        <f t="shared" si="239"/>
        <v>4.843939926</v>
      </c>
      <c r="R346" s="81">
        <f t="shared" si="240"/>
        <v>-682.9013789</v>
      </c>
    </row>
    <row r="347">
      <c r="A347" s="12"/>
      <c r="B347" s="80" t="s">
        <v>122</v>
      </c>
      <c r="C347" s="87">
        <v>31.0</v>
      </c>
      <c r="D347" s="86">
        <v>0.33125</v>
      </c>
      <c r="E347" s="88">
        <v>0.1449493112</v>
      </c>
      <c r="F347" s="89">
        <f t="shared" si="232"/>
        <v>8480.358425</v>
      </c>
      <c r="G347" s="81">
        <v>6634.0</v>
      </c>
      <c r="H347" s="81">
        <f t="shared" si="233"/>
        <v>-1846.358425</v>
      </c>
      <c r="I347" s="25">
        <f t="shared" si="234"/>
        <v>2456.059743</v>
      </c>
      <c r="J347" s="64">
        <f>C347*'Rate Codes'!$D$7</f>
        <v>53.490035</v>
      </c>
      <c r="K347" s="25">
        <f>I347*'Rate Codes'!$D$8</f>
        <v>31.81334185</v>
      </c>
      <c r="L347" s="65">
        <f t="shared" si="235"/>
        <v>85.30337685</v>
      </c>
      <c r="M347" s="66">
        <f>I347*'Rate Codes'!$D$8</f>
        <v>31.81334185</v>
      </c>
      <c r="N347" s="67">
        <f t="shared" si="236"/>
        <v>-609.2982802</v>
      </c>
      <c r="O347" s="25">
        <f t="shared" si="237"/>
        <v>117.1167187</v>
      </c>
      <c r="P347" s="81">
        <f t="shared" si="238"/>
        <v>-492.1815615</v>
      </c>
      <c r="Q347" s="25">
        <f t="shared" si="239"/>
        <v>5.855835935</v>
      </c>
      <c r="R347" s="81">
        <f t="shared" si="240"/>
        <v>-486.3257256</v>
      </c>
    </row>
    <row r="348">
      <c r="A348" s="12"/>
      <c r="B348" s="80" t="s">
        <v>123</v>
      </c>
      <c r="C348" s="87">
        <v>31.0</v>
      </c>
      <c r="D348" s="86">
        <v>0.3951375</v>
      </c>
      <c r="E348" s="88">
        <v>0.1246952409</v>
      </c>
      <c r="F348" s="89">
        <f t="shared" si="232"/>
        <v>7295.380212</v>
      </c>
      <c r="G348" s="81">
        <v>5909.0</v>
      </c>
      <c r="H348" s="81">
        <f t="shared" si="233"/>
        <v>-1386.380212</v>
      </c>
      <c r="I348" s="25">
        <f t="shared" si="234"/>
        <v>2609.575163</v>
      </c>
      <c r="J348" s="64">
        <f>C348*'Rate Codes'!$D$7</f>
        <v>53.490035</v>
      </c>
      <c r="K348" s="25">
        <f>I348*'Rate Codes'!$D$8</f>
        <v>33.80182709</v>
      </c>
      <c r="L348" s="65">
        <f t="shared" si="235"/>
        <v>87.29186209</v>
      </c>
      <c r="M348" s="66">
        <f>I348*'Rate Codes'!$D$8</f>
        <v>33.80182709</v>
      </c>
      <c r="N348" s="67">
        <f t="shared" si="236"/>
        <v>-457.50547</v>
      </c>
      <c r="O348" s="25">
        <f t="shared" si="237"/>
        <v>121.0936892</v>
      </c>
      <c r="P348" s="81">
        <f t="shared" si="238"/>
        <v>-336.4117809</v>
      </c>
      <c r="Q348" s="25">
        <f t="shared" si="239"/>
        <v>6.054684459</v>
      </c>
      <c r="R348" s="81">
        <f t="shared" si="240"/>
        <v>-330.3570964</v>
      </c>
    </row>
    <row r="349">
      <c r="A349" s="12"/>
      <c r="B349" s="80" t="s">
        <v>124</v>
      </c>
      <c r="C349" s="87">
        <v>30.0</v>
      </c>
      <c r="D349" s="86">
        <v>0.4756958333333334</v>
      </c>
      <c r="E349" s="88">
        <v>0.09825803101</v>
      </c>
      <c r="F349" s="89">
        <f t="shared" si="232"/>
        <v>5748.653196</v>
      </c>
      <c r="G349" s="81">
        <v>5270.0</v>
      </c>
      <c r="H349" s="81">
        <f t="shared" si="233"/>
        <v>-478.653196</v>
      </c>
      <c r="I349" s="25">
        <f t="shared" si="234"/>
        <v>2801.867122</v>
      </c>
      <c r="J349" s="64">
        <f>C349*'Rate Codes'!$D$7</f>
        <v>51.76455</v>
      </c>
      <c r="K349" s="25">
        <f>I349*'Rate Codes'!$D$8</f>
        <v>36.29258484</v>
      </c>
      <c r="L349" s="65">
        <f t="shared" si="235"/>
        <v>88.05713484</v>
      </c>
      <c r="M349" s="66">
        <f>I349*'Rate Codes'!$D$8</f>
        <v>36.29258484</v>
      </c>
      <c r="N349" s="67">
        <f t="shared" si="236"/>
        <v>-157.9555547</v>
      </c>
      <c r="O349" s="25">
        <f t="shared" si="237"/>
        <v>124.3497197</v>
      </c>
      <c r="P349" s="81">
        <f t="shared" si="238"/>
        <v>-33.605835</v>
      </c>
      <c r="Q349" s="25">
        <f t="shared" si="239"/>
        <v>6.217485984</v>
      </c>
      <c r="R349" s="81">
        <f t="shared" si="240"/>
        <v>-27.38834902</v>
      </c>
    </row>
    <row r="350">
      <c r="A350" s="12"/>
      <c r="B350" s="80" t="s">
        <v>125</v>
      </c>
      <c r="C350" s="87">
        <v>31.0</v>
      </c>
      <c r="D350" s="86">
        <v>0.5590291666666667</v>
      </c>
      <c r="E350" s="88">
        <v>0.06840443866</v>
      </c>
      <c r="F350" s="89">
        <f t="shared" si="232"/>
        <v>4002.048391</v>
      </c>
      <c r="G350" s="81">
        <v>5946.0</v>
      </c>
      <c r="H350" s="81">
        <f t="shared" si="233"/>
        <v>1943.951609</v>
      </c>
      <c r="I350" s="25">
        <f t="shared" si="234"/>
        <v>3715.069516</v>
      </c>
      <c r="J350" s="64">
        <f>C350*'Rate Codes'!$D$7</f>
        <v>53.490035</v>
      </c>
      <c r="K350" s="25">
        <f>I350*'Rate Codes'!$D$8</f>
        <v>48.12129545</v>
      </c>
      <c r="L350" s="65">
        <f t="shared" si="235"/>
        <v>101.6113304</v>
      </c>
      <c r="M350" s="66">
        <f>I350*'Rate Codes'!$D$8</f>
        <v>48.12129545</v>
      </c>
      <c r="N350" s="67">
        <f t="shared" si="236"/>
        <v>133.9382658</v>
      </c>
      <c r="O350" s="25">
        <f t="shared" si="237"/>
        <v>149.7326259</v>
      </c>
      <c r="P350" s="81">
        <f t="shared" si="238"/>
        <v>283.6708917</v>
      </c>
      <c r="Q350" s="25">
        <f t="shared" si="239"/>
        <v>14.18354459</v>
      </c>
      <c r="R350" s="81">
        <f t="shared" si="240"/>
        <v>297.8544363</v>
      </c>
    </row>
    <row r="351">
      <c r="A351" s="12"/>
      <c r="B351" s="80" t="s">
        <v>126</v>
      </c>
      <c r="C351" s="87">
        <v>30.0</v>
      </c>
      <c r="D351" s="86">
        <v>0.63125</v>
      </c>
      <c r="E351" s="88">
        <v>0.0271408052</v>
      </c>
      <c r="F351" s="89">
        <f t="shared" si="232"/>
        <v>1587.89134</v>
      </c>
      <c r="G351" s="81">
        <v>5587.0</v>
      </c>
      <c r="H351" s="81">
        <f t="shared" si="233"/>
        <v>3999.10866</v>
      </c>
      <c r="I351" s="25">
        <f t="shared" si="234"/>
        <v>3941.736919</v>
      </c>
      <c r="J351" s="64">
        <f>C351*'Rate Codes'!$D$7</f>
        <v>51.76455</v>
      </c>
      <c r="K351" s="25">
        <f>I351*'Rate Codes'!$D$8</f>
        <v>51.05731831</v>
      </c>
      <c r="L351" s="65">
        <f t="shared" si="235"/>
        <v>102.8218683</v>
      </c>
      <c r="M351" s="66">
        <f>I351*'Rate Codes'!$D$8</f>
        <v>51.05731831</v>
      </c>
      <c r="N351" s="67">
        <f t="shared" si="236"/>
        <v>275.5385867</v>
      </c>
      <c r="O351" s="25">
        <f t="shared" si="237"/>
        <v>153.8791866</v>
      </c>
      <c r="P351" s="81">
        <f t="shared" si="238"/>
        <v>429.4177733</v>
      </c>
      <c r="Q351" s="25">
        <f t="shared" si="239"/>
        <v>21.47088866</v>
      </c>
      <c r="R351" s="81">
        <f t="shared" si="240"/>
        <v>450.8886619</v>
      </c>
    </row>
    <row r="352">
      <c r="A352" s="12"/>
      <c r="B352" s="80" t="s">
        <v>127</v>
      </c>
      <c r="C352" s="87">
        <v>31.0</v>
      </c>
      <c r="D352" s="86">
        <v>0.6680541666666667</v>
      </c>
      <c r="E352" s="88">
        <v>0.01559005293</v>
      </c>
      <c r="F352" s="89">
        <f t="shared" si="232"/>
        <v>912.1066917</v>
      </c>
      <c r="G352" s="81">
        <v>5490.0</v>
      </c>
      <c r="H352" s="81">
        <f t="shared" si="233"/>
        <v>4577.893308</v>
      </c>
      <c r="I352" s="25">
        <f t="shared" si="234"/>
        <v>4099.129078</v>
      </c>
      <c r="J352" s="64">
        <f>C352*'Rate Codes'!$D$7</f>
        <v>53.490035</v>
      </c>
      <c r="K352" s="25">
        <f>I352*'Rate Codes'!$D$8</f>
        <v>53.09601894</v>
      </c>
      <c r="L352" s="65">
        <f t="shared" si="235"/>
        <v>106.5860539</v>
      </c>
      <c r="M352" s="66">
        <f>I352*'Rate Codes'!$D$8</f>
        <v>53.09601894</v>
      </c>
      <c r="N352" s="67">
        <f t="shared" si="236"/>
        <v>315.4168489</v>
      </c>
      <c r="O352" s="25">
        <f t="shared" si="237"/>
        <v>159.6820729</v>
      </c>
      <c r="P352" s="81">
        <f t="shared" si="238"/>
        <v>475.0989218</v>
      </c>
      <c r="Q352" s="25">
        <f t="shared" si="239"/>
        <v>23.75494609</v>
      </c>
      <c r="R352" s="81">
        <f t="shared" si="240"/>
        <v>498.8538679</v>
      </c>
    </row>
    <row r="353">
      <c r="A353" s="12"/>
      <c r="B353" s="77" t="s">
        <v>109</v>
      </c>
      <c r="C353" s="82"/>
      <c r="D353" s="83"/>
      <c r="E353" s="83">
        <f t="shared" ref="E353:N353" si="241">SUM(E341:E352)</f>
        <v>1</v>
      </c>
      <c r="F353" s="84">
        <f t="shared" si="241"/>
        <v>58505.68281</v>
      </c>
      <c r="G353" s="85">
        <f t="shared" si="241"/>
        <v>66307</v>
      </c>
      <c r="H353" s="85">
        <f t="shared" si="241"/>
        <v>7801.317188</v>
      </c>
      <c r="I353" s="48">
        <f t="shared" si="241"/>
        <v>36353.20393</v>
      </c>
      <c r="J353" s="85">
        <f t="shared" si="241"/>
        <v>629.802025</v>
      </c>
      <c r="K353" s="85">
        <f t="shared" si="241"/>
        <v>470.8830505</v>
      </c>
      <c r="L353" s="85">
        <f t="shared" si="241"/>
        <v>1100.685075</v>
      </c>
      <c r="M353" s="85">
        <f t="shared" si="241"/>
        <v>470.8830505</v>
      </c>
      <c r="N353" s="85">
        <f t="shared" si="241"/>
        <v>-1922.908133</v>
      </c>
      <c r="O353" s="48">
        <f t="shared" si="237"/>
        <v>1571.568126</v>
      </c>
      <c r="P353" s="85">
        <f t="shared" ref="P353:R353" si="242">SUM(P341:P352)</f>
        <v>-351.3400068</v>
      </c>
      <c r="Q353" s="85">
        <f t="shared" si="242"/>
        <v>138.2064018</v>
      </c>
      <c r="R353" s="85">
        <f t="shared" si="242"/>
        <v>-213.1336051</v>
      </c>
    </row>
    <row r="355">
      <c r="A355" s="76">
        <v>22.0</v>
      </c>
      <c r="B355" s="12" t="s">
        <v>128</v>
      </c>
      <c r="C355" s="12"/>
      <c r="D355" s="15"/>
      <c r="E355" s="15">
        <f>$E$1* POWER((1 -$H$1),A355)</f>
        <v>58213.1544</v>
      </c>
      <c r="F355" s="1" t="s">
        <v>132</v>
      </c>
      <c r="G355" s="8">
        <f>E355/G369</f>
        <v>0.8779337686</v>
      </c>
      <c r="H355" s="1" t="s">
        <v>133</v>
      </c>
      <c r="I355" s="6">
        <f>1-G355</f>
        <v>0.1220662314</v>
      </c>
      <c r="J355" s="12" t="s">
        <v>74</v>
      </c>
      <c r="M355" s="12" t="s">
        <v>78</v>
      </c>
      <c r="N355" s="12"/>
      <c r="O355" s="12"/>
      <c r="P355" s="12"/>
      <c r="Q355" s="12"/>
      <c r="R355" s="12"/>
    </row>
    <row r="356">
      <c r="A356" s="12"/>
      <c r="B356" s="77" t="s">
        <v>83</v>
      </c>
      <c r="C356" s="78" t="s">
        <v>88</v>
      </c>
      <c r="D356" s="44" t="s">
        <v>87</v>
      </c>
      <c r="E356" s="77" t="s">
        <v>140</v>
      </c>
      <c r="F356" s="77" t="s">
        <v>135</v>
      </c>
      <c r="G356" s="78" t="s">
        <v>89</v>
      </c>
      <c r="H356" s="78" t="s">
        <v>138</v>
      </c>
      <c r="I356" s="20" t="s">
        <v>139</v>
      </c>
      <c r="J356" s="78" t="s">
        <v>76</v>
      </c>
      <c r="K356" s="78" t="s">
        <v>82</v>
      </c>
      <c r="L356" s="78" t="s">
        <v>109</v>
      </c>
      <c r="M356" s="78" t="s">
        <v>80</v>
      </c>
      <c r="N356" s="78" t="s">
        <v>67</v>
      </c>
      <c r="O356" s="45" t="s">
        <v>114</v>
      </c>
      <c r="P356" s="79" t="s">
        <v>115</v>
      </c>
      <c r="Q356" s="79" t="s">
        <v>60</v>
      </c>
      <c r="R356" s="79" t="s">
        <v>109</v>
      </c>
    </row>
    <row r="357">
      <c r="A357" s="12"/>
      <c r="B357" s="80" t="s">
        <v>117</v>
      </c>
      <c r="C357" s="87">
        <v>31.0</v>
      </c>
      <c r="D357" s="86">
        <v>0.6479166666666667</v>
      </c>
      <c r="E357" s="88">
        <v>0.02731296772</v>
      </c>
      <c r="F357" s="89">
        <f t="shared" ref="F357:F368" si="243">$E$355*E357</f>
        <v>1589.974007</v>
      </c>
      <c r="G357" s="81">
        <v>5726.0</v>
      </c>
      <c r="H357" s="81">
        <f t="shared" ref="H357:H368" si="244">G357-F357</f>
        <v>4136.025993</v>
      </c>
      <c r="I357" s="25">
        <f t="shared" ref="I357:I368" si="245">D357*G357*(1+$I$355)</f>
        <v>4162.832991</v>
      </c>
      <c r="J357" s="64">
        <f>C357*'Rate Codes'!$D$7</f>
        <v>53.490035</v>
      </c>
      <c r="K357" s="25">
        <f>I357*'Rate Codes'!$D$8</f>
        <v>53.92117574</v>
      </c>
      <c r="L357" s="65">
        <f t="shared" ref="L357:L368" si="246">SUM(J357:K357)</f>
        <v>107.4112107</v>
      </c>
      <c r="M357" s="66">
        <f>I357*'Rate Codes'!$D$8</f>
        <v>53.92117574</v>
      </c>
      <c r="N357" s="67">
        <f t="shared" ref="N357:N368" si="247">H357*IF(D357&gt;51%,0.0689,0.33)</f>
        <v>284.9721909</v>
      </c>
      <c r="O357" s="25">
        <f t="shared" ref="O357:O369" si="248">L357+M357</f>
        <v>161.3323865</v>
      </c>
      <c r="P357" s="81">
        <f t="shared" ref="P357:P368" si="249">N357+L357+M357</f>
        <v>446.3045774</v>
      </c>
      <c r="Q357" s="25">
        <f t="shared" ref="Q357:Q368" si="250">(IF(N357&gt;0,N357,0)+O357)*0.05</f>
        <v>22.31522887</v>
      </c>
      <c r="R357" s="81">
        <f t="shared" ref="R357:R368" si="251">P357+Q357</f>
        <v>468.6198063</v>
      </c>
    </row>
    <row r="358">
      <c r="A358" s="12"/>
      <c r="B358" s="80" t="s">
        <v>118</v>
      </c>
      <c r="C358" s="87">
        <v>28.0</v>
      </c>
      <c r="D358" s="86">
        <v>0.5868041666666667</v>
      </c>
      <c r="E358" s="88">
        <v>0.04620731865</v>
      </c>
      <c r="F358" s="89">
        <f t="shared" si="243"/>
        <v>2689.873775</v>
      </c>
      <c r="G358" s="81">
        <v>5279.0</v>
      </c>
      <c r="H358" s="81">
        <f t="shared" si="244"/>
        <v>2589.126225</v>
      </c>
      <c r="I358" s="25">
        <f t="shared" si="245"/>
        <v>3475.868545</v>
      </c>
      <c r="J358" s="64">
        <f>C358*'Rate Codes'!$D$7</f>
        <v>48.31358</v>
      </c>
      <c r="K358" s="25">
        <f>I358*'Rate Codes'!$D$8</f>
        <v>45.02292527</v>
      </c>
      <c r="L358" s="65">
        <f t="shared" si="246"/>
        <v>93.33650527</v>
      </c>
      <c r="M358" s="66">
        <f>I358*'Rate Codes'!$D$8</f>
        <v>45.02292527</v>
      </c>
      <c r="N358" s="67">
        <f t="shared" si="247"/>
        <v>178.3907969</v>
      </c>
      <c r="O358" s="25">
        <f t="shared" si="248"/>
        <v>138.3594305</v>
      </c>
      <c r="P358" s="81">
        <f t="shared" si="249"/>
        <v>316.7502274</v>
      </c>
      <c r="Q358" s="25">
        <f t="shared" si="250"/>
        <v>15.83751137</v>
      </c>
      <c r="R358" s="81">
        <f t="shared" si="251"/>
        <v>332.5877388</v>
      </c>
    </row>
    <row r="359">
      <c r="A359" s="12"/>
      <c r="B359" s="80" t="s">
        <v>119</v>
      </c>
      <c r="C359" s="87">
        <v>31.0</v>
      </c>
      <c r="D359" s="86">
        <v>0.5083333333333333</v>
      </c>
      <c r="E359" s="88">
        <v>0.08500831624</v>
      </c>
      <c r="F359" s="89">
        <f t="shared" si="243"/>
        <v>4948.602238</v>
      </c>
      <c r="G359" s="81">
        <v>4991.0</v>
      </c>
      <c r="H359" s="81">
        <f t="shared" si="244"/>
        <v>42.39776163</v>
      </c>
      <c r="I359" s="25">
        <f t="shared" si="245"/>
        <v>2846.784885</v>
      </c>
      <c r="J359" s="64">
        <f>C359*'Rate Codes'!$D$7</f>
        <v>53.490035</v>
      </c>
      <c r="K359" s="25">
        <f>I359*'Rate Codes'!$D$8</f>
        <v>36.87440462</v>
      </c>
      <c r="L359" s="65">
        <f t="shared" si="246"/>
        <v>90.36443962</v>
      </c>
      <c r="M359" s="66">
        <f>I359*'Rate Codes'!$D$8</f>
        <v>36.87440462</v>
      </c>
      <c r="N359" s="67">
        <f t="shared" si="247"/>
        <v>13.99126134</v>
      </c>
      <c r="O359" s="25">
        <f t="shared" si="248"/>
        <v>127.2388442</v>
      </c>
      <c r="P359" s="81">
        <f t="shared" si="249"/>
        <v>141.2301056</v>
      </c>
      <c r="Q359" s="25">
        <f t="shared" si="250"/>
        <v>7.061505278</v>
      </c>
      <c r="R359" s="81">
        <f t="shared" si="251"/>
        <v>148.2916108</v>
      </c>
    </row>
    <row r="360">
      <c r="A360" s="12"/>
      <c r="B360" s="80" t="s">
        <v>120</v>
      </c>
      <c r="C360" s="87">
        <v>30.0</v>
      </c>
      <c r="D360" s="86">
        <v>0.425</v>
      </c>
      <c r="E360" s="88">
        <v>0.108773175</v>
      </c>
      <c r="F360" s="89">
        <f t="shared" si="243"/>
        <v>6332.029631</v>
      </c>
      <c r="G360" s="81">
        <v>4952.0</v>
      </c>
      <c r="H360" s="81">
        <f t="shared" si="244"/>
        <v>-1380.029631</v>
      </c>
      <c r="I360" s="25">
        <f t="shared" si="245"/>
        <v>2361.500591</v>
      </c>
      <c r="J360" s="64">
        <f>C360*'Rate Codes'!$D$7</f>
        <v>51.76455</v>
      </c>
      <c r="K360" s="25">
        <f>I360*'Rate Codes'!$D$8</f>
        <v>30.58851715</v>
      </c>
      <c r="L360" s="65">
        <f t="shared" si="246"/>
        <v>82.35306715</v>
      </c>
      <c r="M360" s="66">
        <f>I360*'Rate Codes'!$D$8</f>
        <v>30.58851715</v>
      </c>
      <c r="N360" s="67">
        <f t="shared" si="247"/>
        <v>-455.4097781</v>
      </c>
      <c r="O360" s="25">
        <f t="shared" si="248"/>
        <v>112.9415843</v>
      </c>
      <c r="P360" s="81">
        <f t="shared" si="249"/>
        <v>-342.4681938</v>
      </c>
      <c r="Q360" s="25">
        <f t="shared" si="250"/>
        <v>5.647079215</v>
      </c>
      <c r="R360" s="81">
        <f t="shared" si="251"/>
        <v>-336.8211146</v>
      </c>
    </row>
    <row r="361">
      <c r="A361" s="12"/>
      <c r="B361" s="80" t="s">
        <v>98</v>
      </c>
      <c r="C361" s="87">
        <v>31.0</v>
      </c>
      <c r="D361" s="86">
        <v>0.35277916666666664</v>
      </c>
      <c r="E361" s="88">
        <v>0.1281742617</v>
      </c>
      <c r="F361" s="89">
        <f t="shared" si="243"/>
        <v>7461.428086</v>
      </c>
      <c r="G361" s="81">
        <v>5559.0</v>
      </c>
      <c r="H361" s="81">
        <f t="shared" si="244"/>
        <v>-1902.428086</v>
      </c>
      <c r="I361" s="25">
        <f t="shared" si="245"/>
        <v>2200.483399</v>
      </c>
      <c r="J361" s="64">
        <f>C361*'Rate Codes'!$D$7</f>
        <v>53.490035</v>
      </c>
      <c r="K361" s="25">
        <f>I361*'Rate Codes'!$D$8</f>
        <v>28.50286147</v>
      </c>
      <c r="L361" s="65">
        <f t="shared" si="246"/>
        <v>81.99289647</v>
      </c>
      <c r="M361" s="66">
        <f>I361*'Rate Codes'!$D$8</f>
        <v>28.50286147</v>
      </c>
      <c r="N361" s="67">
        <f t="shared" si="247"/>
        <v>-627.8012684</v>
      </c>
      <c r="O361" s="25">
        <f t="shared" si="248"/>
        <v>110.4957579</v>
      </c>
      <c r="P361" s="81">
        <f t="shared" si="249"/>
        <v>-517.3055105</v>
      </c>
      <c r="Q361" s="25">
        <f t="shared" si="250"/>
        <v>5.524787897</v>
      </c>
      <c r="R361" s="81">
        <f t="shared" si="251"/>
        <v>-511.7807226</v>
      </c>
    </row>
    <row r="362">
      <c r="A362" s="12"/>
      <c r="B362" s="80" t="s">
        <v>121</v>
      </c>
      <c r="C362" s="87">
        <v>30.0</v>
      </c>
      <c r="D362" s="86">
        <v>0.31388750000000004</v>
      </c>
      <c r="E362" s="88">
        <v>0.1254860808</v>
      </c>
      <c r="F362" s="89">
        <f t="shared" si="243"/>
        <v>7304.940596</v>
      </c>
      <c r="G362" s="81">
        <v>4964.0</v>
      </c>
      <c r="H362" s="81">
        <f t="shared" si="244"/>
        <v>-2340.940596</v>
      </c>
      <c r="I362" s="25">
        <f t="shared" si="245"/>
        <v>1748.333529</v>
      </c>
      <c r="J362" s="64">
        <f>C362*'Rate Codes'!$D$7</f>
        <v>51.76455</v>
      </c>
      <c r="K362" s="25">
        <f>I362*'Rate Codes'!$D$8</f>
        <v>22.6461642</v>
      </c>
      <c r="L362" s="65">
        <f t="shared" si="246"/>
        <v>74.4107142</v>
      </c>
      <c r="M362" s="66">
        <f>I362*'Rate Codes'!$D$8</f>
        <v>22.6461642</v>
      </c>
      <c r="N362" s="67">
        <f t="shared" si="247"/>
        <v>-772.5103968</v>
      </c>
      <c r="O362" s="25">
        <f t="shared" si="248"/>
        <v>97.05687839</v>
      </c>
      <c r="P362" s="81">
        <f t="shared" si="249"/>
        <v>-675.4535184</v>
      </c>
      <c r="Q362" s="25">
        <f t="shared" si="250"/>
        <v>4.85284392</v>
      </c>
      <c r="R362" s="81">
        <f t="shared" si="251"/>
        <v>-670.6006745</v>
      </c>
    </row>
    <row r="363">
      <c r="A363" s="12"/>
      <c r="B363" s="80" t="s">
        <v>122</v>
      </c>
      <c r="C363" s="87">
        <v>31.0</v>
      </c>
      <c r="D363" s="86">
        <v>0.33125</v>
      </c>
      <c r="E363" s="88">
        <v>0.1449493112</v>
      </c>
      <c r="F363" s="89">
        <f t="shared" si="243"/>
        <v>8437.956633</v>
      </c>
      <c r="G363" s="81">
        <v>6634.0</v>
      </c>
      <c r="H363" s="81">
        <f t="shared" si="244"/>
        <v>-1803.956633</v>
      </c>
      <c r="I363" s="25">
        <f t="shared" si="245"/>
        <v>2465.754569</v>
      </c>
      <c r="J363" s="64">
        <f>C363*'Rate Codes'!$D$7</f>
        <v>53.490035</v>
      </c>
      <c r="K363" s="25">
        <f>I363*'Rate Codes'!$D$8</f>
        <v>31.93891894</v>
      </c>
      <c r="L363" s="65">
        <f t="shared" si="246"/>
        <v>85.42895394</v>
      </c>
      <c r="M363" s="66">
        <f>I363*'Rate Codes'!$D$8</f>
        <v>31.93891894</v>
      </c>
      <c r="N363" s="67">
        <f t="shared" si="247"/>
        <v>-595.3056888</v>
      </c>
      <c r="O363" s="25">
        <f t="shared" si="248"/>
        <v>117.3678729</v>
      </c>
      <c r="P363" s="81">
        <f t="shared" si="249"/>
        <v>-477.9378159</v>
      </c>
      <c r="Q363" s="25">
        <f t="shared" si="250"/>
        <v>5.868393644</v>
      </c>
      <c r="R363" s="81">
        <f t="shared" si="251"/>
        <v>-472.0694223</v>
      </c>
    </row>
    <row r="364">
      <c r="A364" s="12"/>
      <c r="B364" s="80" t="s">
        <v>123</v>
      </c>
      <c r="C364" s="87">
        <v>31.0</v>
      </c>
      <c r="D364" s="86">
        <v>0.3951375</v>
      </c>
      <c r="E364" s="88">
        <v>0.1246952409</v>
      </c>
      <c r="F364" s="89">
        <f t="shared" si="243"/>
        <v>7258.903311</v>
      </c>
      <c r="G364" s="81">
        <v>5909.0</v>
      </c>
      <c r="H364" s="81">
        <f t="shared" si="244"/>
        <v>-1349.903311</v>
      </c>
      <c r="I364" s="25">
        <f t="shared" si="245"/>
        <v>2619.875962</v>
      </c>
      <c r="J364" s="64">
        <f>C364*'Rate Codes'!$D$7</f>
        <v>53.490035</v>
      </c>
      <c r="K364" s="25">
        <f>I364*'Rate Codes'!$D$8</f>
        <v>33.93525334</v>
      </c>
      <c r="L364" s="65">
        <f t="shared" si="246"/>
        <v>87.42528834</v>
      </c>
      <c r="M364" s="66">
        <f>I364*'Rate Codes'!$D$8</f>
        <v>33.93525334</v>
      </c>
      <c r="N364" s="67">
        <f t="shared" si="247"/>
        <v>-445.4680927</v>
      </c>
      <c r="O364" s="25">
        <f t="shared" si="248"/>
        <v>121.3605417</v>
      </c>
      <c r="P364" s="81">
        <f t="shared" si="249"/>
        <v>-324.107551</v>
      </c>
      <c r="Q364" s="25">
        <f t="shared" si="250"/>
        <v>6.068027084</v>
      </c>
      <c r="R364" s="81">
        <f t="shared" si="251"/>
        <v>-318.0395239</v>
      </c>
    </row>
    <row r="365">
      <c r="A365" s="12"/>
      <c r="B365" s="80" t="s">
        <v>124</v>
      </c>
      <c r="C365" s="87">
        <v>30.0</v>
      </c>
      <c r="D365" s="86">
        <v>0.4756958333333334</v>
      </c>
      <c r="E365" s="88">
        <v>0.09825803101</v>
      </c>
      <c r="F365" s="89">
        <f t="shared" si="243"/>
        <v>5719.90993</v>
      </c>
      <c r="G365" s="81">
        <v>5270.0</v>
      </c>
      <c r="H365" s="81">
        <f t="shared" si="244"/>
        <v>-449.90993</v>
      </c>
      <c r="I365" s="25">
        <f t="shared" si="245"/>
        <v>2812.926957</v>
      </c>
      <c r="J365" s="64">
        <f>C365*'Rate Codes'!$D$7</f>
        <v>51.76455</v>
      </c>
      <c r="K365" s="25">
        <f>I365*'Rate Codes'!$D$8</f>
        <v>36.43584288</v>
      </c>
      <c r="L365" s="65">
        <f t="shared" si="246"/>
        <v>88.20039288</v>
      </c>
      <c r="M365" s="66">
        <f>I365*'Rate Codes'!$D$8</f>
        <v>36.43584288</v>
      </c>
      <c r="N365" s="67">
        <f t="shared" si="247"/>
        <v>-148.4702769</v>
      </c>
      <c r="O365" s="25">
        <f t="shared" si="248"/>
        <v>124.6362358</v>
      </c>
      <c r="P365" s="81">
        <f t="shared" si="249"/>
        <v>-23.83404115</v>
      </c>
      <c r="Q365" s="25">
        <f t="shared" si="250"/>
        <v>6.231811788</v>
      </c>
      <c r="R365" s="81">
        <f t="shared" si="251"/>
        <v>-17.60222936</v>
      </c>
    </row>
    <row r="366">
      <c r="A366" s="12"/>
      <c r="B366" s="80" t="s">
        <v>125</v>
      </c>
      <c r="C366" s="87">
        <v>31.0</v>
      </c>
      <c r="D366" s="86">
        <v>0.5590291666666667</v>
      </c>
      <c r="E366" s="88">
        <v>0.06840443866</v>
      </c>
      <c r="F366" s="89">
        <f t="shared" si="243"/>
        <v>3982.038149</v>
      </c>
      <c r="G366" s="81">
        <v>5946.0</v>
      </c>
      <c r="H366" s="81">
        <f t="shared" si="244"/>
        <v>1963.961851</v>
      </c>
      <c r="I366" s="25">
        <f t="shared" si="245"/>
        <v>3729.734043</v>
      </c>
      <c r="J366" s="64">
        <f>C366*'Rate Codes'!$D$7</f>
        <v>53.490035</v>
      </c>
      <c r="K366" s="25">
        <f>I366*'Rate Codes'!$D$8</f>
        <v>48.31124506</v>
      </c>
      <c r="L366" s="65">
        <f t="shared" si="246"/>
        <v>101.8012801</v>
      </c>
      <c r="M366" s="66">
        <f>I366*'Rate Codes'!$D$8</f>
        <v>48.31124506</v>
      </c>
      <c r="N366" s="67">
        <f t="shared" si="247"/>
        <v>135.3169715</v>
      </c>
      <c r="O366" s="25">
        <f t="shared" si="248"/>
        <v>150.1125251</v>
      </c>
      <c r="P366" s="81">
        <f t="shared" si="249"/>
        <v>285.4294966</v>
      </c>
      <c r="Q366" s="25">
        <f t="shared" si="250"/>
        <v>14.27147483</v>
      </c>
      <c r="R366" s="81">
        <f t="shared" si="251"/>
        <v>299.7009715</v>
      </c>
    </row>
    <row r="367">
      <c r="A367" s="12"/>
      <c r="B367" s="80" t="s">
        <v>126</v>
      </c>
      <c r="C367" s="87">
        <v>30.0</v>
      </c>
      <c r="D367" s="86">
        <v>0.63125</v>
      </c>
      <c r="E367" s="88">
        <v>0.0271408052</v>
      </c>
      <c r="F367" s="89">
        <f t="shared" si="243"/>
        <v>1579.951884</v>
      </c>
      <c r="G367" s="81">
        <v>5587.0</v>
      </c>
      <c r="H367" s="81">
        <f t="shared" si="244"/>
        <v>4007.048116</v>
      </c>
      <c r="I367" s="25">
        <f t="shared" si="245"/>
        <v>3957.296172</v>
      </c>
      <c r="J367" s="64">
        <f>C367*'Rate Codes'!$D$7</f>
        <v>51.76455</v>
      </c>
      <c r="K367" s="25">
        <f>I367*'Rate Codes'!$D$8</f>
        <v>51.25885731</v>
      </c>
      <c r="L367" s="65">
        <f t="shared" si="246"/>
        <v>103.0234073</v>
      </c>
      <c r="M367" s="66">
        <f>I367*'Rate Codes'!$D$8</f>
        <v>51.25885731</v>
      </c>
      <c r="N367" s="67">
        <f t="shared" si="247"/>
        <v>276.0856152</v>
      </c>
      <c r="O367" s="25">
        <f t="shared" si="248"/>
        <v>154.2822646</v>
      </c>
      <c r="P367" s="81">
        <f t="shared" si="249"/>
        <v>430.3678798</v>
      </c>
      <c r="Q367" s="25">
        <f t="shared" si="250"/>
        <v>21.51839399</v>
      </c>
      <c r="R367" s="81">
        <f t="shared" si="251"/>
        <v>451.8862738</v>
      </c>
    </row>
    <row r="368">
      <c r="A368" s="12"/>
      <c r="B368" s="80" t="s">
        <v>127</v>
      </c>
      <c r="C368" s="87">
        <v>31.0</v>
      </c>
      <c r="D368" s="86">
        <v>0.6680541666666667</v>
      </c>
      <c r="E368" s="88">
        <v>0.01559005293</v>
      </c>
      <c r="F368" s="89">
        <f t="shared" si="243"/>
        <v>907.5461583</v>
      </c>
      <c r="G368" s="81">
        <v>5490.0</v>
      </c>
      <c r="H368" s="81">
        <f t="shared" si="244"/>
        <v>4582.453842</v>
      </c>
      <c r="I368" s="25">
        <f t="shared" si="245"/>
        <v>4115.309606</v>
      </c>
      <c r="J368" s="64">
        <f>C368*'Rate Codes'!$D$7</f>
        <v>53.490035</v>
      </c>
      <c r="K368" s="25">
        <f>I368*'Rate Codes'!$D$8</f>
        <v>53.30560533</v>
      </c>
      <c r="L368" s="65">
        <f t="shared" si="246"/>
        <v>106.7956403</v>
      </c>
      <c r="M368" s="66">
        <f>I368*'Rate Codes'!$D$8</f>
        <v>53.30560533</v>
      </c>
      <c r="N368" s="67">
        <f t="shared" si="247"/>
        <v>315.7310697</v>
      </c>
      <c r="O368" s="25">
        <f t="shared" si="248"/>
        <v>160.1012457</v>
      </c>
      <c r="P368" s="81">
        <f t="shared" si="249"/>
        <v>475.8323153</v>
      </c>
      <c r="Q368" s="25">
        <f t="shared" si="250"/>
        <v>23.79161577</v>
      </c>
      <c r="R368" s="81">
        <f t="shared" si="251"/>
        <v>499.6239311</v>
      </c>
    </row>
    <row r="369">
      <c r="A369" s="12"/>
      <c r="B369" s="77" t="s">
        <v>109</v>
      </c>
      <c r="C369" s="82"/>
      <c r="D369" s="83"/>
      <c r="E369" s="83">
        <f t="shared" ref="E369:N369" si="252">SUM(E357:E368)</f>
        <v>1</v>
      </c>
      <c r="F369" s="84">
        <f t="shared" si="252"/>
        <v>58213.1544</v>
      </c>
      <c r="G369" s="85">
        <f t="shared" si="252"/>
        <v>66307</v>
      </c>
      <c r="H369" s="85">
        <f t="shared" si="252"/>
        <v>8093.845602</v>
      </c>
      <c r="I369" s="48">
        <f t="shared" si="252"/>
        <v>36496.70125</v>
      </c>
      <c r="J369" s="85">
        <f t="shared" si="252"/>
        <v>629.802025</v>
      </c>
      <c r="K369" s="85">
        <f t="shared" si="252"/>
        <v>472.7417713</v>
      </c>
      <c r="L369" s="85">
        <f t="shared" si="252"/>
        <v>1102.543796</v>
      </c>
      <c r="M369" s="85">
        <f t="shared" si="252"/>
        <v>472.7417713</v>
      </c>
      <c r="N369" s="85">
        <f t="shared" si="252"/>
        <v>-1840.477596</v>
      </c>
      <c r="O369" s="48">
        <f t="shared" si="248"/>
        <v>1575.285568</v>
      </c>
      <c r="P369" s="85">
        <f t="shared" ref="P369:R369" si="253">SUM(P357:P368)</f>
        <v>-265.1920285</v>
      </c>
      <c r="Q369" s="85">
        <f t="shared" si="253"/>
        <v>138.9886737</v>
      </c>
      <c r="R369" s="85">
        <f t="shared" si="253"/>
        <v>-126.2033549</v>
      </c>
    </row>
    <row r="371">
      <c r="A371" s="76">
        <v>23.0</v>
      </c>
      <c r="B371" s="12" t="s">
        <v>128</v>
      </c>
      <c r="C371" s="12"/>
      <c r="D371" s="15"/>
      <c r="E371" s="15">
        <f>$E$1* POWER((1 -$H$1),A371)</f>
        <v>57922.08863</v>
      </c>
      <c r="F371" s="1" t="s">
        <v>132</v>
      </c>
      <c r="G371" s="8">
        <f>E371/G385</f>
        <v>0.8735440998</v>
      </c>
      <c r="H371" s="1" t="s">
        <v>133</v>
      </c>
      <c r="I371" s="6">
        <f>1-G371</f>
        <v>0.1264559002</v>
      </c>
      <c r="J371" s="12" t="s">
        <v>74</v>
      </c>
      <c r="M371" s="12" t="s">
        <v>78</v>
      </c>
      <c r="N371" s="12"/>
      <c r="O371" s="12"/>
      <c r="P371" s="12"/>
      <c r="Q371" s="12"/>
      <c r="R371" s="12"/>
    </row>
    <row r="372">
      <c r="A372" s="12"/>
      <c r="B372" s="77" t="s">
        <v>83</v>
      </c>
      <c r="C372" s="78" t="s">
        <v>88</v>
      </c>
      <c r="D372" s="44" t="s">
        <v>87</v>
      </c>
      <c r="E372" s="77" t="s">
        <v>140</v>
      </c>
      <c r="F372" s="77" t="s">
        <v>135</v>
      </c>
      <c r="G372" s="78" t="s">
        <v>89</v>
      </c>
      <c r="H372" s="78" t="s">
        <v>138</v>
      </c>
      <c r="I372" s="20" t="s">
        <v>139</v>
      </c>
      <c r="J372" s="78" t="s">
        <v>76</v>
      </c>
      <c r="K372" s="78" t="s">
        <v>82</v>
      </c>
      <c r="L372" s="78" t="s">
        <v>109</v>
      </c>
      <c r="M372" s="78" t="s">
        <v>80</v>
      </c>
      <c r="N372" s="78" t="s">
        <v>67</v>
      </c>
      <c r="O372" s="45" t="s">
        <v>114</v>
      </c>
      <c r="P372" s="79" t="s">
        <v>115</v>
      </c>
      <c r="Q372" s="79" t="s">
        <v>60</v>
      </c>
      <c r="R372" s="79" t="s">
        <v>109</v>
      </c>
    </row>
    <row r="373">
      <c r="A373" s="12"/>
      <c r="B373" s="80" t="s">
        <v>117</v>
      </c>
      <c r="C373" s="87">
        <v>31.0</v>
      </c>
      <c r="D373" s="86">
        <v>0.6479166666666667</v>
      </c>
      <c r="E373" s="88">
        <v>0.02731296772</v>
      </c>
      <c r="F373" s="89">
        <f t="shared" ref="F373:F384" si="254">$E$371*E373</f>
        <v>1582.024137</v>
      </c>
      <c r="G373" s="81">
        <v>5726.0</v>
      </c>
      <c r="H373" s="81">
        <f t="shared" ref="H373:H384" si="255">G373-F373</f>
        <v>4143.975863</v>
      </c>
      <c r="I373" s="25">
        <f t="shared" ref="I373:I384" si="256">D373*G373*(1+$I$371)</f>
        <v>4179.118535</v>
      </c>
      <c r="J373" s="64">
        <f>C373*'Rate Codes'!$D$7</f>
        <v>53.490035</v>
      </c>
      <c r="K373" s="25">
        <f>I373*'Rate Codes'!$D$8</f>
        <v>54.13212238</v>
      </c>
      <c r="L373" s="65">
        <f t="shared" ref="L373:L384" si="257">SUM(J373:K373)</f>
        <v>107.6221574</v>
      </c>
      <c r="M373" s="66">
        <f>I373*'Rate Codes'!$D$8</f>
        <v>54.13212238</v>
      </c>
      <c r="N373" s="67">
        <f t="shared" ref="N373:N384" si="258">H373*IF(D373&gt;51%,0.0689,0.33)</f>
        <v>285.519937</v>
      </c>
      <c r="O373" s="25">
        <f t="shared" ref="O373:O385" si="259">L373+M373</f>
        <v>161.7542798</v>
      </c>
      <c r="P373" s="81">
        <f t="shared" ref="P373:P384" si="260">N373+L373+M373</f>
        <v>447.2742167</v>
      </c>
      <c r="Q373" s="25">
        <f t="shared" ref="Q373:Q384" si="261">(IF(N373&gt;0,N373,0)+O373)*0.05</f>
        <v>22.36371084</v>
      </c>
      <c r="R373" s="81">
        <f t="shared" ref="R373:R384" si="262">P373+Q373</f>
        <v>469.6379276</v>
      </c>
    </row>
    <row r="374">
      <c r="A374" s="12"/>
      <c r="B374" s="80" t="s">
        <v>118</v>
      </c>
      <c r="C374" s="87">
        <v>28.0</v>
      </c>
      <c r="D374" s="86">
        <v>0.5868041666666667</v>
      </c>
      <c r="E374" s="88">
        <v>0.04620731865</v>
      </c>
      <c r="F374" s="89">
        <f t="shared" si="254"/>
        <v>2676.424406</v>
      </c>
      <c r="G374" s="81">
        <v>5279.0</v>
      </c>
      <c r="H374" s="81">
        <f t="shared" si="255"/>
        <v>2602.575594</v>
      </c>
      <c r="I374" s="25">
        <f t="shared" si="256"/>
        <v>3489.466594</v>
      </c>
      <c r="J374" s="64">
        <f>C374*'Rate Codes'!$D$7</f>
        <v>48.31358</v>
      </c>
      <c r="K374" s="25">
        <f>I374*'Rate Codes'!$D$8</f>
        <v>45.1990608</v>
      </c>
      <c r="L374" s="65">
        <f t="shared" si="257"/>
        <v>93.5126408</v>
      </c>
      <c r="M374" s="66">
        <f>I374*'Rate Codes'!$D$8</f>
        <v>45.1990608</v>
      </c>
      <c r="N374" s="67">
        <f t="shared" si="258"/>
        <v>179.3174584</v>
      </c>
      <c r="O374" s="25">
        <f t="shared" si="259"/>
        <v>138.7117016</v>
      </c>
      <c r="P374" s="81">
        <f t="shared" si="260"/>
        <v>318.02916</v>
      </c>
      <c r="Q374" s="25">
        <f t="shared" si="261"/>
        <v>15.901458</v>
      </c>
      <c r="R374" s="81">
        <f t="shared" si="262"/>
        <v>333.930618</v>
      </c>
    </row>
    <row r="375">
      <c r="A375" s="12"/>
      <c r="B375" s="80" t="s">
        <v>119</v>
      </c>
      <c r="C375" s="87">
        <v>31.0</v>
      </c>
      <c r="D375" s="86">
        <v>0.5083333333333333</v>
      </c>
      <c r="E375" s="88">
        <v>0.08500831624</v>
      </c>
      <c r="F375" s="89">
        <f t="shared" si="254"/>
        <v>4923.859227</v>
      </c>
      <c r="G375" s="81">
        <v>4991.0</v>
      </c>
      <c r="H375" s="81">
        <f t="shared" si="255"/>
        <v>67.14077282</v>
      </c>
      <c r="I375" s="25">
        <f t="shared" si="256"/>
        <v>2857.921877</v>
      </c>
      <c r="J375" s="64">
        <f>C375*'Rate Codes'!$D$7</f>
        <v>53.490035</v>
      </c>
      <c r="K375" s="25">
        <f>I375*'Rate Codes'!$D$8</f>
        <v>37.01866208</v>
      </c>
      <c r="L375" s="65">
        <f t="shared" si="257"/>
        <v>90.50869708</v>
      </c>
      <c r="M375" s="66">
        <f>I375*'Rate Codes'!$D$8</f>
        <v>37.01866208</v>
      </c>
      <c r="N375" s="67">
        <f t="shared" si="258"/>
        <v>22.15645503</v>
      </c>
      <c r="O375" s="25">
        <f t="shared" si="259"/>
        <v>127.5273592</v>
      </c>
      <c r="P375" s="81">
        <f t="shared" si="260"/>
        <v>149.6838142</v>
      </c>
      <c r="Q375" s="25">
        <f t="shared" si="261"/>
        <v>7.484190709</v>
      </c>
      <c r="R375" s="81">
        <f t="shared" si="262"/>
        <v>157.1680049</v>
      </c>
    </row>
    <row r="376">
      <c r="A376" s="12"/>
      <c r="B376" s="80" t="s">
        <v>120</v>
      </c>
      <c r="C376" s="87">
        <v>30.0</v>
      </c>
      <c r="D376" s="86">
        <v>0.425</v>
      </c>
      <c r="E376" s="88">
        <v>0.108773175</v>
      </c>
      <c r="F376" s="89">
        <f t="shared" si="254"/>
        <v>6300.369482</v>
      </c>
      <c r="G376" s="81">
        <v>4952.0</v>
      </c>
      <c r="H376" s="81">
        <f t="shared" si="255"/>
        <v>-1348.369482</v>
      </c>
      <c r="I376" s="25">
        <f t="shared" si="256"/>
        <v>2370.739088</v>
      </c>
      <c r="J376" s="64">
        <f>C376*'Rate Codes'!$D$7</f>
        <v>51.76455</v>
      </c>
      <c r="K376" s="25">
        <f>I376*'Rate Codes'!$D$8</f>
        <v>30.7081834</v>
      </c>
      <c r="L376" s="65">
        <f t="shared" si="257"/>
        <v>82.4727334</v>
      </c>
      <c r="M376" s="66">
        <f>I376*'Rate Codes'!$D$8</f>
        <v>30.7081834</v>
      </c>
      <c r="N376" s="67">
        <f t="shared" si="258"/>
        <v>-444.9619292</v>
      </c>
      <c r="O376" s="25">
        <f t="shared" si="259"/>
        <v>113.1809168</v>
      </c>
      <c r="P376" s="81">
        <f t="shared" si="260"/>
        <v>-331.7810124</v>
      </c>
      <c r="Q376" s="25">
        <f t="shared" si="261"/>
        <v>5.65904584</v>
      </c>
      <c r="R376" s="81">
        <f t="shared" si="262"/>
        <v>-326.1219666</v>
      </c>
    </row>
    <row r="377">
      <c r="A377" s="12"/>
      <c r="B377" s="80" t="s">
        <v>98</v>
      </c>
      <c r="C377" s="87">
        <v>31.0</v>
      </c>
      <c r="D377" s="86">
        <v>0.35277916666666664</v>
      </c>
      <c r="E377" s="88">
        <v>0.1281742617</v>
      </c>
      <c r="F377" s="89">
        <f t="shared" si="254"/>
        <v>7424.120946</v>
      </c>
      <c r="G377" s="81">
        <v>5559.0</v>
      </c>
      <c r="H377" s="81">
        <f t="shared" si="255"/>
        <v>-1865.120946</v>
      </c>
      <c r="I377" s="25">
        <f t="shared" si="256"/>
        <v>2209.091976</v>
      </c>
      <c r="J377" s="64">
        <f>C377*'Rate Codes'!$D$7</f>
        <v>53.490035</v>
      </c>
      <c r="K377" s="25">
        <f>I377*'Rate Codes'!$D$8</f>
        <v>28.61436836</v>
      </c>
      <c r="L377" s="65">
        <f t="shared" si="257"/>
        <v>82.10440336</v>
      </c>
      <c r="M377" s="66">
        <f>I377*'Rate Codes'!$D$8</f>
        <v>28.61436836</v>
      </c>
      <c r="N377" s="67">
        <f t="shared" si="258"/>
        <v>-615.4899121</v>
      </c>
      <c r="O377" s="25">
        <f t="shared" si="259"/>
        <v>110.7187717</v>
      </c>
      <c r="P377" s="81">
        <f t="shared" si="260"/>
        <v>-504.7711404</v>
      </c>
      <c r="Q377" s="25">
        <f t="shared" si="261"/>
        <v>5.535938586</v>
      </c>
      <c r="R377" s="81">
        <f t="shared" si="262"/>
        <v>-499.2352018</v>
      </c>
    </row>
    <row r="378">
      <c r="A378" s="12"/>
      <c r="B378" s="80" t="s">
        <v>121</v>
      </c>
      <c r="C378" s="87">
        <v>30.0</v>
      </c>
      <c r="D378" s="86">
        <v>0.31388750000000004</v>
      </c>
      <c r="E378" s="88">
        <v>0.1254860808</v>
      </c>
      <c r="F378" s="89">
        <f t="shared" si="254"/>
        <v>7268.415893</v>
      </c>
      <c r="G378" s="81">
        <v>4964.0</v>
      </c>
      <c r="H378" s="81">
        <f t="shared" si="255"/>
        <v>-2304.415893</v>
      </c>
      <c r="I378" s="25">
        <f t="shared" si="256"/>
        <v>1755.173237</v>
      </c>
      <c r="J378" s="64">
        <f>C378*'Rate Codes'!$D$7</f>
        <v>51.76455</v>
      </c>
      <c r="K378" s="25">
        <f>I378*'Rate Codes'!$D$8</f>
        <v>22.73475893</v>
      </c>
      <c r="L378" s="65">
        <f t="shared" si="257"/>
        <v>74.49930893</v>
      </c>
      <c r="M378" s="66">
        <f>I378*'Rate Codes'!$D$8</f>
        <v>22.73475893</v>
      </c>
      <c r="N378" s="67">
        <f t="shared" si="258"/>
        <v>-760.4572448</v>
      </c>
      <c r="O378" s="25">
        <f t="shared" si="259"/>
        <v>97.23406787</v>
      </c>
      <c r="P378" s="81">
        <f t="shared" si="260"/>
        <v>-663.223177</v>
      </c>
      <c r="Q378" s="25">
        <f t="shared" si="261"/>
        <v>4.861703393</v>
      </c>
      <c r="R378" s="81">
        <f t="shared" si="262"/>
        <v>-658.3614736</v>
      </c>
    </row>
    <row r="379">
      <c r="A379" s="12"/>
      <c r="B379" s="80" t="s">
        <v>122</v>
      </c>
      <c r="C379" s="87">
        <v>31.0</v>
      </c>
      <c r="D379" s="86">
        <v>0.33125</v>
      </c>
      <c r="E379" s="88">
        <v>0.1449493112</v>
      </c>
      <c r="F379" s="89">
        <f t="shared" si="254"/>
        <v>8395.76685</v>
      </c>
      <c r="G379" s="81">
        <v>6634.0</v>
      </c>
      <c r="H379" s="81">
        <f t="shared" si="255"/>
        <v>-1761.76685</v>
      </c>
      <c r="I379" s="25">
        <f t="shared" si="256"/>
        <v>2475.400921</v>
      </c>
      <c r="J379" s="64">
        <f>C379*'Rate Codes'!$D$7</f>
        <v>53.490035</v>
      </c>
      <c r="K379" s="25">
        <f>I379*'Rate Codes'!$D$8</f>
        <v>32.06386813</v>
      </c>
      <c r="L379" s="65">
        <f t="shared" si="257"/>
        <v>85.55390313</v>
      </c>
      <c r="M379" s="66">
        <f>I379*'Rate Codes'!$D$8</f>
        <v>32.06386813</v>
      </c>
      <c r="N379" s="67">
        <f t="shared" si="258"/>
        <v>-581.3830604</v>
      </c>
      <c r="O379" s="25">
        <f t="shared" si="259"/>
        <v>117.6177713</v>
      </c>
      <c r="P379" s="81">
        <f t="shared" si="260"/>
        <v>-463.7652891</v>
      </c>
      <c r="Q379" s="25">
        <f t="shared" si="261"/>
        <v>5.880888563</v>
      </c>
      <c r="R379" s="81">
        <f t="shared" si="262"/>
        <v>-457.8844005</v>
      </c>
    </row>
    <row r="380">
      <c r="A380" s="12"/>
      <c r="B380" s="80" t="s">
        <v>123</v>
      </c>
      <c r="C380" s="87">
        <v>31.0</v>
      </c>
      <c r="D380" s="86">
        <v>0.3951375</v>
      </c>
      <c r="E380" s="88">
        <v>0.1246952409</v>
      </c>
      <c r="F380" s="89">
        <f t="shared" si="254"/>
        <v>7222.608795</v>
      </c>
      <c r="G380" s="81">
        <v>5909.0</v>
      </c>
      <c r="H380" s="81">
        <f t="shared" si="255"/>
        <v>-1313.608795</v>
      </c>
      <c r="I380" s="25">
        <f t="shared" si="256"/>
        <v>2630.125257</v>
      </c>
      <c r="J380" s="64">
        <f>C380*'Rate Codes'!$D$7</f>
        <v>53.490035</v>
      </c>
      <c r="K380" s="25">
        <f>I380*'Rate Codes'!$D$8</f>
        <v>34.06801246</v>
      </c>
      <c r="L380" s="65">
        <f t="shared" si="257"/>
        <v>87.55804746</v>
      </c>
      <c r="M380" s="66">
        <f>I380*'Rate Codes'!$D$8</f>
        <v>34.06801246</v>
      </c>
      <c r="N380" s="67">
        <f t="shared" si="258"/>
        <v>-433.4909022</v>
      </c>
      <c r="O380" s="25">
        <f t="shared" si="259"/>
        <v>121.6260599</v>
      </c>
      <c r="P380" s="81">
        <f t="shared" si="260"/>
        <v>-311.8648423</v>
      </c>
      <c r="Q380" s="25">
        <f t="shared" si="261"/>
        <v>6.081302996</v>
      </c>
      <c r="R380" s="81">
        <f t="shared" si="262"/>
        <v>-305.7835393</v>
      </c>
    </row>
    <row r="381">
      <c r="A381" s="12"/>
      <c r="B381" s="80" t="s">
        <v>124</v>
      </c>
      <c r="C381" s="87">
        <v>30.0</v>
      </c>
      <c r="D381" s="86">
        <v>0.4756958333333334</v>
      </c>
      <c r="E381" s="88">
        <v>0.09825803101</v>
      </c>
      <c r="F381" s="89">
        <f t="shared" si="254"/>
        <v>5691.31038</v>
      </c>
      <c r="G381" s="81">
        <v>5270.0</v>
      </c>
      <c r="H381" s="81">
        <f t="shared" si="255"/>
        <v>-421.3103803</v>
      </c>
      <c r="I381" s="25">
        <f t="shared" si="256"/>
        <v>2823.931493</v>
      </c>
      <c r="J381" s="64">
        <f>C381*'Rate Codes'!$D$7</f>
        <v>51.76455</v>
      </c>
      <c r="K381" s="25">
        <f>I381*'Rate Codes'!$D$8</f>
        <v>36.57838463</v>
      </c>
      <c r="L381" s="65">
        <f t="shared" si="257"/>
        <v>88.34293463</v>
      </c>
      <c r="M381" s="66">
        <f>I381*'Rate Codes'!$D$8</f>
        <v>36.57838463</v>
      </c>
      <c r="N381" s="67">
        <f t="shared" si="258"/>
        <v>-139.0324255</v>
      </c>
      <c r="O381" s="25">
        <f t="shared" si="259"/>
        <v>124.9213193</v>
      </c>
      <c r="P381" s="81">
        <f t="shared" si="260"/>
        <v>-14.11110626</v>
      </c>
      <c r="Q381" s="25">
        <f t="shared" si="261"/>
        <v>6.246065963</v>
      </c>
      <c r="R381" s="81">
        <f t="shared" si="262"/>
        <v>-7.865040298</v>
      </c>
    </row>
    <row r="382">
      <c r="A382" s="12"/>
      <c r="B382" s="80" t="s">
        <v>125</v>
      </c>
      <c r="C382" s="87">
        <v>31.0</v>
      </c>
      <c r="D382" s="86">
        <v>0.5590291666666667</v>
      </c>
      <c r="E382" s="88">
        <v>0.06840443866</v>
      </c>
      <c r="F382" s="89">
        <f t="shared" si="254"/>
        <v>3962.127958</v>
      </c>
      <c r="G382" s="81">
        <v>5946.0</v>
      </c>
      <c r="H382" s="81">
        <f t="shared" si="255"/>
        <v>1983.872042</v>
      </c>
      <c r="I382" s="25">
        <f t="shared" si="256"/>
        <v>3744.325247</v>
      </c>
      <c r="J382" s="64">
        <f>C382*'Rate Codes'!$D$7</f>
        <v>53.490035</v>
      </c>
      <c r="K382" s="25">
        <f>I382*'Rate Codes'!$D$8</f>
        <v>48.50024493</v>
      </c>
      <c r="L382" s="65">
        <f t="shared" si="257"/>
        <v>101.9902799</v>
      </c>
      <c r="M382" s="66">
        <f>I382*'Rate Codes'!$D$8</f>
        <v>48.50024493</v>
      </c>
      <c r="N382" s="67">
        <f t="shared" si="258"/>
        <v>136.6887837</v>
      </c>
      <c r="O382" s="25">
        <f t="shared" si="259"/>
        <v>150.4905249</v>
      </c>
      <c r="P382" s="81">
        <f t="shared" si="260"/>
        <v>287.1793085</v>
      </c>
      <c r="Q382" s="25">
        <f t="shared" si="261"/>
        <v>14.35896543</v>
      </c>
      <c r="R382" s="81">
        <f t="shared" si="262"/>
        <v>301.5382739</v>
      </c>
    </row>
    <row r="383">
      <c r="A383" s="12"/>
      <c r="B383" s="80" t="s">
        <v>126</v>
      </c>
      <c r="C383" s="87">
        <v>30.0</v>
      </c>
      <c r="D383" s="86">
        <v>0.63125</v>
      </c>
      <c r="E383" s="88">
        <v>0.0271408052</v>
      </c>
      <c r="F383" s="89">
        <f t="shared" si="254"/>
        <v>1572.052124</v>
      </c>
      <c r="G383" s="81">
        <v>5587.0</v>
      </c>
      <c r="H383" s="81">
        <f t="shared" si="255"/>
        <v>4014.947876</v>
      </c>
      <c r="I383" s="25">
        <f t="shared" si="256"/>
        <v>3972.777628</v>
      </c>
      <c r="J383" s="64">
        <f>C383*'Rate Codes'!$D$7</f>
        <v>51.76455</v>
      </c>
      <c r="K383" s="25">
        <f>I383*'Rate Codes'!$D$8</f>
        <v>51.45938862</v>
      </c>
      <c r="L383" s="65">
        <f t="shared" si="257"/>
        <v>103.2239386</v>
      </c>
      <c r="M383" s="66">
        <f>I383*'Rate Codes'!$D$8</f>
        <v>51.45938862</v>
      </c>
      <c r="N383" s="67">
        <f t="shared" si="258"/>
        <v>276.6299086</v>
      </c>
      <c r="O383" s="25">
        <f t="shared" si="259"/>
        <v>154.6833272</v>
      </c>
      <c r="P383" s="81">
        <f t="shared" si="260"/>
        <v>431.3132359</v>
      </c>
      <c r="Q383" s="25">
        <f t="shared" si="261"/>
        <v>21.56566179</v>
      </c>
      <c r="R383" s="81">
        <f t="shared" si="262"/>
        <v>452.8788977</v>
      </c>
    </row>
    <row r="384">
      <c r="A384" s="12"/>
      <c r="B384" s="80" t="s">
        <v>127</v>
      </c>
      <c r="C384" s="87">
        <v>31.0</v>
      </c>
      <c r="D384" s="86">
        <v>0.6680541666666667</v>
      </c>
      <c r="E384" s="88">
        <v>0.01559005293</v>
      </c>
      <c r="F384" s="89">
        <f t="shared" si="254"/>
        <v>903.0084275</v>
      </c>
      <c r="G384" s="81">
        <v>5490.0</v>
      </c>
      <c r="H384" s="81">
        <f t="shared" si="255"/>
        <v>4586.991573</v>
      </c>
      <c r="I384" s="25">
        <f t="shared" si="256"/>
        <v>4131.409232</v>
      </c>
      <c r="J384" s="64">
        <f>C384*'Rate Codes'!$D$7</f>
        <v>53.490035</v>
      </c>
      <c r="K384" s="25">
        <f>I384*'Rate Codes'!$D$8</f>
        <v>53.51414378</v>
      </c>
      <c r="L384" s="65">
        <f t="shared" si="257"/>
        <v>107.0041788</v>
      </c>
      <c r="M384" s="66">
        <f>I384*'Rate Codes'!$D$8</f>
        <v>53.51414378</v>
      </c>
      <c r="N384" s="67">
        <f t="shared" si="258"/>
        <v>316.0437193</v>
      </c>
      <c r="O384" s="25">
        <f t="shared" si="259"/>
        <v>160.5183226</v>
      </c>
      <c r="P384" s="81">
        <f t="shared" si="260"/>
        <v>476.5620419</v>
      </c>
      <c r="Q384" s="25">
        <f t="shared" si="261"/>
        <v>23.8281021</v>
      </c>
      <c r="R384" s="81">
        <f t="shared" si="262"/>
        <v>500.390144</v>
      </c>
    </row>
    <row r="385">
      <c r="A385" s="12"/>
      <c r="B385" s="77" t="s">
        <v>109</v>
      </c>
      <c r="C385" s="82"/>
      <c r="D385" s="83"/>
      <c r="E385" s="83">
        <f t="shared" ref="E385:N385" si="263">SUM(E373:E384)</f>
        <v>1</v>
      </c>
      <c r="F385" s="84">
        <f t="shared" si="263"/>
        <v>57922.08863</v>
      </c>
      <c r="G385" s="85">
        <f t="shared" si="263"/>
        <v>66307</v>
      </c>
      <c r="H385" s="85">
        <f t="shared" si="263"/>
        <v>8384.911374</v>
      </c>
      <c r="I385" s="48">
        <f t="shared" si="263"/>
        <v>36639.48109</v>
      </c>
      <c r="J385" s="85">
        <f t="shared" si="263"/>
        <v>629.802025</v>
      </c>
      <c r="K385" s="85">
        <f t="shared" si="263"/>
        <v>474.5911985</v>
      </c>
      <c r="L385" s="85">
        <f t="shared" si="263"/>
        <v>1104.393223</v>
      </c>
      <c r="M385" s="85">
        <f t="shared" si="263"/>
        <v>474.5911985</v>
      </c>
      <c r="N385" s="85">
        <f t="shared" si="263"/>
        <v>-1758.459212</v>
      </c>
      <c r="O385" s="48">
        <f t="shared" si="259"/>
        <v>1578.984422</v>
      </c>
      <c r="P385" s="85">
        <f t="shared" ref="P385:R385" si="264">SUM(P373:P384)</f>
        <v>-179.4747901</v>
      </c>
      <c r="Q385" s="85">
        <f t="shared" si="264"/>
        <v>139.7670342</v>
      </c>
      <c r="R385" s="85">
        <f t="shared" si="264"/>
        <v>-39.70775593</v>
      </c>
    </row>
    <row r="387">
      <c r="A387" s="76">
        <v>24.0</v>
      </c>
      <c r="B387" s="12" t="s">
        <v>128</v>
      </c>
      <c r="C387" s="12"/>
      <c r="D387" s="15"/>
      <c r="E387" s="15">
        <f>$E$1* POWER((1 -$H$1),A387)</f>
        <v>57632.47818</v>
      </c>
      <c r="F387" s="1" t="s">
        <v>132</v>
      </c>
      <c r="G387" s="8">
        <f>E387/G401</f>
        <v>0.8691763793</v>
      </c>
      <c r="H387" s="1" t="s">
        <v>133</v>
      </c>
      <c r="I387" s="6">
        <f>1-G387</f>
        <v>0.1308236207</v>
      </c>
      <c r="J387" s="12" t="s">
        <v>74</v>
      </c>
      <c r="M387" s="12" t="s">
        <v>78</v>
      </c>
      <c r="N387" s="12"/>
      <c r="O387" s="12"/>
      <c r="P387" s="12"/>
      <c r="Q387" s="12"/>
      <c r="R387" s="12"/>
    </row>
    <row r="388">
      <c r="A388" s="12"/>
      <c r="B388" s="77" t="s">
        <v>83</v>
      </c>
      <c r="C388" s="78" t="s">
        <v>88</v>
      </c>
      <c r="D388" s="44" t="s">
        <v>87</v>
      </c>
      <c r="E388" s="77" t="s">
        <v>140</v>
      </c>
      <c r="F388" s="77" t="s">
        <v>135</v>
      </c>
      <c r="G388" s="78" t="s">
        <v>89</v>
      </c>
      <c r="H388" s="78" t="s">
        <v>138</v>
      </c>
      <c r="I388" s="20" t="s">
        <v>139</v>
      </c>
      <c r="J388" s="78" t="s">
        <v>76</v>
      </c>
      <c r="K388" s="78" t="s">
        <v>82</v>
      </c>
      <c r="L388" s="78" t="s">
        <v>109</v>
      </c>
      <c r="M388" s="78" t="s">
        <v>80</v>
      </c>
      <c r="N388" s="78" t="s">
        <v>67</v>
      </c>
      <c r="O388" s="45" t="s">
        <v>114</v>
      </c>
      <c r="P388" s="79" t="s">
        <v>115</v>
      </c>
      <c r="Q388" s="79" t="s">
        <v>60</v>
      </c>
      <c r="R388" s="79" t="s">
        <v>109</v>
      </c>
    </row>
    <row r="389">
      <c r="A389" s="12"/>
      <c r="B389" s="80" t="s">
        <v>117</v>
      </c>
      <c r="C389" s="87">
        <v>31.0</v>
      </c>
      <c r="D389" s="86">
        <v>0.6479166666666667</v>
      </c>
      <c r="E389" s="88">
        <v>0.02731296772</v>
      </c>
      <c r="F389" s="89">
        <f t="shared" ref="F389:F400" si="265">$E$387*E389</f>
        <v>1574.114016</v>
      </c>
      <c r="G389" s="81">
        <v>5726.0</v>
      </c>
      <c r="H389" s="81">
        <f t="shared" ref="H389:H400" si="266">G389-F389</f>
        <v>4151.885984</v>
      </c>
      <c r="I389" s="25">
        <f t="shared" ref="I389:I400" si="267">D389*G389*(1+$I$387)</f>
        <v>4195.32265</v>
      </c>
      <c r="J389" s="64">
        <f>C389*'Rate Codes'!$D$7</f>
        <v>53.490035</v>
      </c>
      <c r="K389" s="25">
        <f>I389*'Rate Codes'!$D$8</f>
        <v>54.34201429</v>
      </c>
      <c r="L389" s="65">
        <f t="shared" ref="L389:L400" si="268">SUM(J389:K389)</f>
        <v>107.8320493</v>
      </c>
      <c r="M389" s="66">
        <f>I389*'Rate Codes'!$D$8</f>
        <v>54.34201429</v>
      </c>
      <c r="N389" s="67">
        <f t="shared" ref="N389:N400" si="269">H389*IF(D389&gt;51%,0.0689,0.33)</f>
        <v>286.0649443</v>
      </c>
      <c r="O389" s="25">
        <f t="shared" ref="O389:O401" si="270">L389+M389</f>
        <v>162.1740636</v>
      </c>
      <c r="P389" s="81">
        <f t="shared" ref="P389:P400" si="271">N389+L389+M389</f>
        <v>448.2390079</v>
      </c>
      <c r="Q389" s="25">
        <f t="shared" ref="Q389:Q400" si="272">(IF(N389&gt;0,N389,0)+O389)*0.05</f>
        <v>22.41195039</v>
      </c>
      <c r="R389" s="81">
        <f t="shared" ref="R389:R400" si="273">P389+Q389</f>
        <v>470.6509583</v>
      </c>
    </row>
    <row r="390">
      <c r="A390" s="12"/>
      <c r="B390" s="80" t="s">
        <v>118</v>
      </c>
      <c r="C390" s="87">
        <v>28.0</v>
      </c>
      <c r="D390" s="86">
        <v>0.5868041666666667</v>
      </c>
      <c r="E390" s="88">
        <v>0.04620731865</v>
      </c>
      <c r="F390" s="89">
        <f t="shared" si="265"/>
        <v>2663.042284</v>
      </c>
      <c r="G390" s="81">
        <v>5279.0</v>
      </c>
      <c r="H390" s="81">
        <f t="shared" si="266"/>
        <v>2615.957716</v>
      </c>
      <c r="I390" s="25">
        <f t="shared" si="267"/>
        <v>3502.996653</v>
      </c>
      <c r="J390" s="64">
        <f>C390*'Rate Codes'!$D$7</f>
        <v>48.31358</v>
      </c>
      <c r="K390" s="25">
        <f>I390*'Rate Codes'!$D$8</f>
        <v>45.37431565</v>
      </c>
      <c r="L390" s="65">
        <f t="shared" si="268"/>
        <v>93.68789565</v>
      </c>
      <c r="M390" s="66">
        <f>I390*'Rate Codes'!$D$8</f>
        <v>45.37431565</v>
      </c>
      <c r="N390" s="67">
        <f t="shared" si="269"/>
        <v>180.2394866</v>
      </c>
      <c r="O390" s="25">
        <f t="shared" si="270"/>
        <v>139.0622113</v>
      </c>
      <c r="P390" s="81">
        <f t="shared" si="271"/>
        <v>319.3016979</v>
      </c>
      <c r="Q390" s="25">
        <f t="shared" si="272"/>
        <v>15.9650849</v>
      </c>
      <c r="R390" s="81">
        <f t="shared" si="273"/>
        <v>335.2667828</v>
      </c>
    </row>
    <row r="391">
      <c r="A391" s="12"/>
      <c r="B391" s="80" t="s">
        <v>119</v>
      </c>
      <c r="C391" s="87">
        <v>31.0</v>
      </c>
      <c r="D391" s="86">
        <v>0.5083333333333333</v>
      </c>
      <c r="E391" s="88">
        <v>0.08500831624</v>
      </c>
      <c r="F391" s="89">
        <f t="shared" si="265"/>
        <v>4899.239931</v>
      </c>
      <c r="G391" s="81">
        <v>4991.0</v>
      </c>
      <c r="H391" s="81">
        <f t="shared" si="266"/>
        <v>91.76006896</v>
      </c>
      <c r="I391" s="25">
        <f t="shared" si="267"/>
        <v>2869.003185</v>
      </c>
      <c r="J391" s="64">
        <f>C391*'Rate Codes'!$D$7</f>
        <v>53.490035</v>
      </c>
      <c r="K391" s="25">
        <f>I391*'Rate Codes'!$D$8</f>
        <v>37.16219825</v>
      </c>
      <c r="L391" s="65">
        <f t="shared" si="268"/>
        <v>90.65223325</v>
      </c>
      <c r="M391" s="66">
        <f>I391*'Rate Codes'!$D$8</f>
        <v>37.16219825</v>
      </c>
      <c r="N391" s="67">
        <f t="shared" si="269"/>
        <v>30.28082276</v>
      </c>
      <c r="O391" s="25">
        <f t="shared" si="270"/>
        <v>127.8144315</v>
      </c>
      <c r="P391" s="81">
        <f t="shared" si="271"/>
        <v>158.0952543</v>
      </c>
      <c r="Q391" s="25">
        <f t="shared" si="272"/>
        <v>7.904762713</v>
      </c>
      <c r="R391" s="81">
        <f t="shared" si="273"/>
        <v>166.000017</v>
      </c>
    </row>
    <row r="392">
      <c r="A392" s="12"/>
      <c r="B392" s="80" t="s">
        <v>120</v>
      </c>
      <c r="C392" s="87">
        <v>30.0</v>
      </c>
      <c r="D392" s="86">
        <v>0.425</v>
      </c>
      <c r="E392" s="88">
        <v>0.108773175</v>
      </c>
      <c r="F392" s="89">
        <f t="shared" si="265"/>
        <v>6268.867635</v>
      </c>
      <c r="G392" s="81">
        <v>4952.0</v>
      </c>
      <c r="H392" s="81">
        <f t="shared" si="266"/>
        <v>-1316.867635</v>
      </c>
      <c r="I392" s="25">
        <f t="shared" si="267"/>
        <v>2379.931392</v>
      </c>
      <c r="J392" s="64">
        <f>C392*'Rate Codes'!$D$7</f>
        <v>51.76455</v>
      </c>
      <c r="K392" s="25">
        <f>I392*'Rate Codes'!$D$8</f>
        <v>30.82725132</v>
      </c>
      <c r="L392" s="65">
        <f t="shared" si="268"/>
        <v>82.59180132</v>
      </c>
      <c r="M392" s="66">
        <f>I392*'Rate Codes'!$D$8</f>
        <v>30.82725132</v>
      </c>
      <c r="N392" s="67">
        <f t="shared" si="269"/>
        <v>-434.5663196</v>
      </c>
      <c r="O392" s="25">
        <f t="shared" si="270"/>
        <v>113.4190526</v>
      </c>
      <c r="P392" s="81">
        <f t="shared" si="271"/>
        <v>-321.1472669</v>
      </c>
      <c r="Q392" s="25">
        <f t="shared" si="272"/>
        <v>5.670952632</v>
      </c>
      <c r="R392" s="81">
        <f t="shared" si="273"/>
        <v>-315.4763143</v>
      </c>
    </row>
    <row r="393">
      <c r="A393" s="12"/>
      <c r="B393" s="80" t="s">
        <v>98</v>
      </c>
      <c r="C393" s="87">
        <v>31.0</v>
      </c>
      <c r="D393" s="86">
        <v>0.35277916666666664</v>
      </c>
      <c r="E393" s="88">
        <v>0.1281742617</v>
      </c>
      <c r="F393" s="89">
        <f t="shared" si="265"/>
        <v>7387.000341</v>
      </c>
      <c r="G393" s="81">
        <v>5559.0</v>
      </c>
      <c r="H393" s="81">
        <f t="shared" si="266"/>
        <v>-1828.000341</v>
      </c>
      <c r="I393" s="25">
        <f t="shared" si="267"/>
        <v>2217.65751</v>
      </c>
      <c r="J393" s="64">
        <f>C393*'Rate Codes'!$D$7</f>
        <v>53.490035</v>
      </c>
      <c r="K393" s="25">
        <f>I393*'Rate Codes'!$D$8</f>
        <v>28.72531773</v>
      </c>
      <c r="L393" s="65">
        <f t="shared" si="268"/>
        <v>82.21535273</v>
      </c>
      <c r="M393" s="66">
        <f>I393*'Rate Codes'!$D$8</f>
        <v>28.72531773</v>
      </c>
      <c r="N393" s="67">
        <f t="shared" si="269"/>
        <v>-603.2401125</v>
      </c>
      <c r="O393" s="25">
        <f t="shared" si="270"/>
        <v>110.9406705</v>
      </c>
      <c r="P393" s="81">
        <f t="shared" si="271"/>
        <v>-492.2994421</v>
      </c>
      <c r="Q393" s="25">
        <f t="shared" si="272"/>
        <v>5.547033523</v>
      </c>
      <c r="R393" s="81">
        <f t="shared" si="273"/>
        <v>-486.7524086</v>
      </c>
    </row>
    <row r="394">
      <c r="A394" s="12"/>
      <c r="B394" s="80" t="s">
        <v>121</v>
      </c>
      <c r="C394" s="87">
        <v>30.0</v>
      </c>
      <c r="D394" s="86">
        <v>0.31388750000000004</v>
      </c>
      <c r="E394" s="88">
        <v>0.1254860808</v>
      </c>
      <c r="F394" s="89">
        <f t="shared" si="265"/>
        <v>7232.073814</v>
      </c>
      <c r="G394" s="81">
        <v>4964.0</v>
      </c>
      <c r="H394" s="81">
        <f t="shared" si="266"/>
        <v>-2268.073814</v>
      </c>
      <c r="I394" s="25">
        <f t="shared" si="267"/>
        <v>1761.978746</v>
      </c>
      <c r="J394" s="64">
        <f>C394*'Rate Codes'!$D$7</f>
        <v>51.76455</v>
      </c>
      <c r="K394" s="25">
        <f>I394*'Rate Codes'!$D$8</f>
        <v>22.82291069</v>
      </c>
      <c r="L394" s="65">
        <f t="shared" si="268"/>
        <v>74.58746069</v>
      </c>
      <c r="M394" s="66">
        <f>I394*'Rate Codes'!$D$8</f>
        <v>22.82291069</v>
      </c>
      <c r="N394" s="67">
        <f t="shared" si="269"/>
        <v>-748.4643586</v>
      </c>
      <c r="O394" s="25">
        <f t="shared" si="270"/>
        <v>97.41037139</v>
      </c>
      <c r="P394" s="81">
        <f t="shared" si="271"/>
        <v>-651.0539872</v>
      </c>
      <c r="Q394" s="25">
        <f t="shared" si="272"/>
        <v>4.870518569</v>
      </c>
      <c r="R394" s="81">
        <f t="shared" si="273"/>
        <v>-646.1834686</v>
      </c>
    </row>
    <row r="395">
      <c r="A395" s="12"/>
      <c r="B395" s="80" t="s">
        <v>122</v>
      </c>
      <c r="C395" s="87">
        <v>31.0</v>
      </c>
      <c r="D395" s="86">
        <v>0.33125</v>
      </c>
      <c r="E395" s="88">
        <v>0.1449493112</v>
      </c>
      <c r="F395" s="89">
        <f t="shared" si="265"/>
        <v>8353.788015</v>
      </c>
      <c r="G395" s="81">
        <v>6634.0</v>
      </c>
      <c r="H395" s="81">
        <f t="shared" si="266"/>
        <v>-1719.788015</v>
      </c>
      <c r="I395" s="25">
        <f t="shared" si="267"/>
        <v>2484.999042</v>
      </c>
      <c r="J395" s="64">
        <f>C395*'Rate Codes'!$D$7</f>
        <v>53.490035</v>
      </c>
      <c r="K395" s="25">
        <f>I395*'Rate Codes'!$D$8</f>
        <v>32.18819259</v>
      </c>
      <c r="L395" s="65">
        <f t="shared" si="268"/>
        <v>85.67822759</v>
      </c>
      <c r="M395" s="66">
        <f>I395*'Rate Codes'!$D$8</f>
        <v>32.18819259</v>
      </c>
      <c r="N395" s="67">
        <f t="shared" si="269"/>
        <v>-567.5300451</v>
      </c>
      <c r="O395" s="25">
        <f t="shared" si="270"/>
        <v>117.8664202</v>
      </c>
      <c r="P395" s="81">
        <f t="shared" si="271"/>
        <v>-449.6636249</v>
      </c>
      <c r="Q395" s="25">
        <f t="shared" si="272"/>
        <v>5.893321009</v>
      </c>
      <c r="R395" s="81">
        <f t="shared" si="273"/>
        <v>-443.7703039</v>
      </c>
    </row>
    <row r="396">
      <c r="A396" s="12"/>
      <c r="B396" s="80" t="s">
        <v>123</v>
      </c>
      <c r="C396" s="87">
        <v>31.0</v>
      </c>
      <c r="D396" s="86">
        <v>0.3951375</v>
      </c>
      <c r="E396" s="88">
        <v>0.1246952409</v>
      </c>
      <c r="F396" s="89">
        <f t="shared" si="265"/>
        <v>7186.495751</v>
      </c>
      <c r="G396" s="81">
        <v>5909.0</v>
      </c>
      <c r="H396" s="81">
        <f t="shared" si="266"/>
        <v>-1277.495751</v>
      </c>
      <c r="I396" s="25">
        <f t="shared" si="267"/>
        <v>2640.323306</v>
      </c>
      <c r="J396" s="64">
        <f>C396*'Rate Codes'!$D$7</f>
        <v>53.490035</v>
      </c>
      <c r="K396" s="25">
        <f>I396*'Rate Codes'!$D$8</f>
        <v>34.20010778</v>
      </c>
      <c r="L396" s="65">
        <f t="shared" si="268"/>
        <v>87.69014278</v>
      </c>
      <c r="M396" s="66">
        <f>I396*'Rate Codes'!$D$8</f>
        <v>34.20010778</v>
      </c>
      <c r="N396" s="67">
        <f t="shared" si="269"/>
        <v>-421.5735977</v>
      </c>
      <c r="O396" s="25">
        <f t="shared" si="270"/>
        <v>121.8902506</v>
      </c>
      <c r="P396" s="81">
        <f t="shared" si="271"/>
        <v>-299.6833471</v>
      </c>
      <c r="Q396" s="25">
        <f t="shared" si="272"/>
        <v>6.094512528</v>
      </c>
      <c r="R396" s="81">
        <f t="shared" si="273"/>
        <v>-293.5888346</v>
      </c>
    </row>
    <row r="397">
      <c r="A397" s="12"/>
      <c r="B397" s="80" t="s">
        <v>124</v>
      </c>
      <c r="C397" s="87">
        <v>30.0</v>
      </c>
      <c r="D397" s="86">
        <v>0.4756958333333334</v>
      </c>
      <c r="E397" s="88">
        <v>0.09825803101</v>
      </c>
      <c r="F397" s="89">
        <f t="shared" si="265"/>
        <v>5662.853828</v>
      </c>
      <c r="G397" s="81">
        <v>5270.0</v>
      </c>
      <c r="H397" s="81">
        <f t="shared" si="266"/>
        <v>-392.8538284</v>
      </c>
      <c r="I397" s="25">
        <f t="shared" si="267"/>
        <v>2834.881006</v>
      </c>
      <c r="J397" s="64">
        <f>C397*'Rate Codes'!$D$7</f>
        <v>51.76455</v>
      </c>
      <c r="K397" s="25">
        <f>I397*'Rate Codes'!$D$8</f>
        <v>36.72021367</v>
      </c>
      <c r="L397" s="65">
        <f t="shared" si="268"/>
        <v>88.48476367</v>
      </c>
      <c r="M397" s="66">
        <f>I397*'Rate Codes'!$D$8</f>
        <v>36.72021367</v>
      </c>
      <c r="N397" s="67">
        <f t="shared" si="269"/>
        <v>-129.6417634</v>
      </c>
      <c r="O397" s="25">
        <f t="shared" si="270"/>
        <v>125.2049773</v>
      </c>
      <c r="P397" s="81">
        <f t="shared" si="271"/>
        <v>-4.43678605</v>
      </c>
      <c r="Q397" s="25">
        <f t="shared" si="272"/>
        <v>6.260248867</v>
      </c>
      <c r="R397" s="81">
        <f t="shared" si="273"/>
        <v>1.823462816</v>
      </c>
    </row>
    <row r="398">
      <c r="A398" s="12"/>
      <c r="B398" s="80" t="s">
        <v>125</v>
      </c>
      <c r="C398" s="87">
        <v>31.0</v>
      </c>
      <c r="D398" s="86">
        <v>0.5590291666666667</v>
      </c>
      <c r="E398" s="88">
        <v>0.06840443866</v>
      </c>
      <c r="F398" s="89">
        <f t="shared" si="265"/>
        <v>3942.317319</v>
      </c>
      <c r="G398" s="81">
        <v>5946.0</v>
      </c>
      <c r="H398" s="81">
        <f t="shared" si="266"/>
        <v>2003.682681</v>
      </c>
      <c r="I398" s="25">
        <f t="shared" si="267"/>
        <v>3758.843495</v>
      </c>
      <c r="J398" s="64">
        <f>C398*'Rate Codes'!$D$7</f>
        <v>53.490035</v>
      </c>
      <c r="K398" s="25">
        <f>I398*'Rate Codes'!$D$8</f>
        <v>48.68829979</v>
      </c>
      <c r="L398" s="65">
        <f t="shared" si="268"/>
        <v>102.1783348</v>
      </c>
      <c r="M398" s="66">
        <f>I398*'Rate Codes'!$D$8</f>
        <v>48.68829979</v>
      </c>
      <c r="N398" s="67">
        <f t="shared" si="269"/>
        <v>138.0537367</v>
      </c>
      <c r="O398" s="25">
        <f t="shared" si="270"/>
        <v>150.8666346</v>
      </c>
      <c r="P398" s="81">
        <f t="shared" si="271"/>
        <v>288.9203713</v>
      </c>
      <c r="Q398" s="25">
        <f t="shared" si="272"/>
        <v>14.44601857</v>
      </c>
      <c r="R398" s="81">
        <f t="shared" si="273"/>
        <v>303.3663899</v>
      </c>
    </row>
    <row r="399">
      <c r="A399" s="12"/>
      <c r="B399" s="80" t="s">
        <v>126</v>
      </c>
      <c r="C399" s="87">
        <v>30.0</v>
      </c>
      <c r="D399" s="86">
        <v>0.63125</v>
      </c>
      <c r="E399" s="88">
        <v>0.0271408052</v>
      </c>
      <c r="F399" s="89">
        <f t="shared" si="265"/>
        <v>1564.191864</v>
      </c>
      <c r="G399" s="81">
        <v>5587.0</v>
      </c>
      <c r="H399" s="81">
        <f t="shared" si="266"/>
        <v>4022.808136</v>
      </c>
      <c r="I399" s="25">
        <f t="shared" si="267"/>
        <v>3988.181678</v>
      </c>
      <c r="J399" s="64">
        <f>C399*'Rate Codes'!$D$7</f>
        <v>51.76455</v>
      </c>
      <c r="K399" s="25">
        <f>I399*'Rate Codes'!$D$8</f>
        <v>51.65891727</v>
      </c>
      <c r="L399" s="65">
        <f t="shared" si="268"/>
        <v>103.4234673</v>
      </c>
      <c r="M399" s="66">
        <f>I399*'Rate Codes'!$D$8</f>
        <v>51.65891727</v>
      </c>
      <c r="N399" s="67">
        <f t="shared" si="269"/>
        <v>277.1714806</v>
      </c>
      <c r="O399" s="25">
        <f t="shared" si="270"/>
        <v>155.0823845</v>
      </c>
      <c r="P399" s="81">
        <f t="shared" si="271"/>
        <v>432.2538651</v>
      </c>
      <c r="Q399" s="25">
        <f t="shared" si="272"/>
        <v>21.61269326</v>
      </c>
      <c r="R399" s="81">
        <f t="shared" si="273"/>
        <v>453.8665584</v>
      </c>
    </row>
    <row r="400">
      <c r="A400" s="12"/>
      <c r="B400" s="80" t="s">
        <v>127</v>
      </c>
      <c r="C400" s="87">
        <v>31.0</v>
      </c>
      <c r="D400" s="86">
        <v>0.6680541666666667</v>
      </c>
      <c r="E400" s="88">
        <v>0.01559005293</v>
      </c>
      <c r="F400" s="89">
        <f t="shared" si="265"/>
        <v>898.4933854</v>
      </c>
      <c r="G400" s="81">
        <v>5490.0</v>
      </c>
      <c r="H400" s="81">
        <f t="shared" si="266"/>
        <v>4591.506615</v>
      </c>
      <c r="I400" s="25">
        <f t="shared" si="267"/>
        <v>4147.428359</v>
      </c>
      <c r="J400" s="64">
        <f>C400*'Rate Codes'!$D$7</f>
        <v>53.490035</v>
      </c>
      <c r="K400" s="25">
        <f>I400*'Rate Codes'!$D$8</f>
        <v>53.72163954</v>
      </c>
      <c r="L400" s="65">
        <f t="shared" si="268"/>
        <v>107.2116745</v>
      </c>
      <c r="M400" s="66">
        <f>I400*'Rate Codes'!$D$8</f>
        <v>53.72163954</v>
      </c>
      <c r="N400" s="67">
        <f t="shared" si="269"/>
        <v>316.3548057</v>
      </c>
      <c r="O400" s="25">
        <f t="shared" si="270"/>
        <v>160.9333141</v>
      </c>
      <c r="P400" s="81">
        <f t="shared" si="271"/>
        <v>477.2881198</v>
      </c>
      <c r="Q400" s="25">
        <f t="shared" si="272"/>
        <v>23.86440599</v>
      </c>
      <c r="R400" s="81">
        <f t="shared" si="273"/>
        <v>501.1525258</v>
      </c>
    </row>
    <row r="401">
      <c r="A401" s="12"/>
      <c r="B401" s="77" t="s">
        <v>109</v>
      </c>
      <c r="C401" s="82"/>
      <c r="D401" s="83"/>
      <c r="E401" s="83">
        <f t="shared" ref="E401:N401" si="274">SUM(E389:E400)</f>
        <v>1</v>
      </c>
      <c r="F401" s="84">
        <f t="shared" si="274"/>
        <v>57632.47818</v>
      </c>
      <c r="G401" s="85">
        <f t="shared" si="274"/>
        <v>66307</v>
      </c>
      <c r="H401" s="85">
        <f t="shared" si="274"/>
        <v>8674.521817</v>
      </c>
      <c r="I401" s="48">
        <f t="shared" si="274"/>
        <v>36781.54702</v>
      </c>
      <c r="J401" s="85">
        <f t="shared" si="274"/>
        <v>629.802025</v>
      </c>
      <c r="K401" s="85">
        <f t="shared" si="274"/>
        <v>476.4313786</v>
      </c>
      <c r="L401" s="85">
        <f t="shared" si="274"/>
        <v>1106.233404</v>
      </c>
      <c r="M401" s="85">
        <f t="shared" si="274"/>
        <v>476.4313786</v>
      </c>
      <c r="N401" s="85">
        <f t="shared" si="274"/>
        <v>-1676.85092</v>
      </c>
      <c r="O401" s="48">
        <f t="shared" si="270"/>
        <v>1582.664782</v>
      </c>
      <c r="P401" s="85">
        <f t="shared" ref="P401:R401" si="275">SUM(P389:P400)</f>
        <v>-94.18613792</v>
      </c>
      <c r="Q401" s="85">
        <f t="shared" si="275"/>
        <v>140.5415029</v>
      </c>
      <c r="R401" s="85">
        <f t="shared" si="275"/>
        <v>46.35536503</v>
      </c>
    </row>
  </sheetData>
  <mergeCells count="25">
    <mergeCell ref="J3:L3"/>
    <mergeCell ref="J19:L19"/>
    <mergeCell ref="J35:L35"/>
    <mergeCell ref="J51:L51"/>
    <mergeCell ref="J67:L67"/>
    <mergeCell ref="J83:L83"/>
    <mergeCell ref="J99:L99"/>
    <mergeCell ref="J115:L115"/>
    <mergeCell ref="J131:L131"/>
    <mergeCell ref="J147:L147"/>
    <mergeCell ref="J163:L163"/>
    <mergeCell ref="J179:L179"/>
    <mergeCell ref="J195:L195"/>
    <mergeCell ref="J211:L211"/>
    <mergeCell ref="J339:L339"/>
    <mergeCell ref="J355:L355"/>
    <mergeCell ref="J371:L371"/>
    <mergeCell ref="J387:L387"/>
    <mergeCell ref="J227:L227"/>
    <mergeCell ref="J243:L243"/>
    <mergeCell ref="J259:L259"/>
    <mergeCell ref="J275:L275"/>
    <mergeCell ref="J291:L291"/>
    <mergeCell ref="J307:L307"/>
    <mergeCell ref="J323:L323"/>
  </mergeCells>
  <drawing r:id="rId1"/>
</worksheet>
</file>